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thesis\Models\MidSeismic 12Floor 9M\"/>
    </mc:Choice>
  </mc:AlternateContent>
  <bookViews>
    <workbookView xWindow="-120" yWindow="-120" windowWidth="29040" windowHeight="15840" activeTab="3"/>
  </bookViews>
  <sheets>
    <sheet name="Assembled Point Masses" sheetId="10" r:id="rId1"/>
    <sheet name="Story Shears" sheetId="1" r:id="rId2"/>
    <sheet name="Scan" sheetId="2" r:id="rId3"/>
    <sheet name="Column" sheetId="15" r:id="rId4"/>
    <sheet name="SOP" sheetId="16" r:id="rId5"/>
    <sheet name="EQB" sheetId="12" r:id="rId6"/>
    <sheet name="Release Notes" sheetId="14" r:id="rId7"/>
    <sheet name="DL" sheetId="6" r:id="rId8"/>
    <sheet name="LL" sheetId="7" r:id="rId9"/>
    <sheet name="靜態地震力" sheetId="8" r:id="rId10"/>
    <sheet name="動態地震力修正" sheetId="9" r:id="rId11"/>
  </sheets>
  <externalReferences>
    <externalReference r:id="rId12"/>
  </externalReferences>
  <definedNames>
    <definedName name="_xlnm._FilterDatabase" localSheetId="0" hidden="1">'Assembled Point Masses'!$A$1:$K$27</definedName>
    <definedName name="_xlnm._FilterDatabase" localSheetId="7" hidden="1">DL!$A$1:$I$169</definedName>
    <definedName name="_xlnm._FilterDatabase" localSheetId="8" hidden="1">LL!$A$1:$I$169</definedName>
    <definedName name="_xlnm._FilterDatabase" localSheetId="1" hidden="1">'Story Shears'!#REF!</definedName>
    <definedName name="_xlnm._FilterDatabase" localSheetId="10" hidden="1">動態地震力修正!$A$1:$I$169</definedName>
    <definedName name="_xlnm._FilterDatabase" localSheetId="9" hidden="1">靜態地震力!$A$1:$I$169</definedName>
    <definedName name="SiteNow">[1]地震行政區資料!$A$4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10" i="15" l="1"/>
  <c r="J11" i="15" s="1"/>
  <c r="I10" i="15"/>
  <c r="I11" i="15" s="1"/>
  <c r="H10" i="15"/>
  <c r="H11" i="15" s="1"/>
  <c r="G10" i="15"/>
  <c r="G11" i="15" s="1"/>
  <c r="F10" i="15"/>
  <c r="F11" i="15" s="1"/>
  <c r="E10" i="15"/>
  <c r="E11" i="15" s="1"/>
  <c r="D10" i="15"/>
  <c r="D11" i="15" s="1"/>
  <c r="J8" i="15"/>
  <c r="J9" i="15" s="1"/>
  <c r="I8" i="15"/>
  <c r="I9" i="15" s="1"/>
  <c r="H8" i="15"/>
  <c r="H9" i="15" s="1"/>
  <c r="G8" i="15"/>
  <c r="G9" i="15" s="1"/>
  <c r="F8" i="15"/>
  <c r="F9" i="15" s="1"/>
  <c r="E8" i="15"/>
  <c r="E9" i="15" s="1"/>
  <c r="D8" i="15"/>
  <c r="D9" i="15" s="1"/>
  <c r="J5" i="15" l="1"/>
  <c r="J6" i="15" s="1"/>
  <c r="I5" i="15"/>
  <c r="I6" i="15" s="1"/>
  <c r="H5" i="15"/>
  <c r="H6" i="15" s="1"/>
  <c r="G5" i="15"/>
  <c r="G6" i="15" s="1"/>
  <c r="F5" i="15"/>
  <c r="F6" i="15" s="1"/>
  <c r="E5" i="15"/>
  <c r="E6" i="15" s="1"/>
  <c r="D5" i="15"/>
  <c r="D6" i="15" s="1"/>
  <c r="J3" i="15"/>
  <c r="J4" i="15" s="1"/>
  <c r="I3" i="15"/>
  <c r="I4" i="15" s="1"/>
  <c r="H3" i="15"/>
  <c r="H4" i="15" s="1"/>
  <c r="G3" i="15"/>
  <c r="G4" i="15" s="1"/>
  <c r="F3" i="15"/>
  <c r="F4" i="15" s="1"/>
  <c r="E3" i="15"/>
  <c r="E4" i="15" s="1"/>
  <c r="D3" i="15"/>
  <c r="D4" i="15" s="1"/>
  <c r="AI10" i="2" l="1"/>
  <c r="T100" i="2" l="1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4" i="2"/>
  <c r="AI11" i="2"/>
  <c r="X11" i="2"/>
  <c r="I16" i="12" l="1"/>
  <c r="J16" i="12" s="1"/>
  <c r="I17" i="12"/>
  <c r="J17" i="12" s="1"/>
  <c r="I18" i="12"/>
  <c r="J18" i="12" s="1"/>
  <c r="I19" i="12"/>
  <c r="J19" i="12" s="1"/>
  <c r="I20" i="12"/>
  <c r="J20" i="12" s="1"/>
  <c r="I21" i="12"/>
  <c r="J21" i="12" s="1"/>
  <c r="I22" i="12"/>
  <c r="J22" i="12" s="1"/>
  <c r="I23" i="12"/>
  <c r="J23" i="12" s="1"/>
  <c r="I24" i="12"/>
  <c r="J24" i="12" s="1"/>
  <c r="I25" i="12"/>
  <c r="J25" i="12" s="1"/>
  <c r="I15" i="12"/>
  <c r="E16" i="12"/>
  <c r="G16" i="12" s="1"/>
  <c r="E17" i="12"/>
  <c r="G17" i="12" s="1"/>
  <c r="E18" i="12"/>
  <c r="G18" i="12" s="1"/>
  <c r="E19" i="12"/>
  <c r="G19" i="12" s="1"/>
  <c r="E20" i="12"/>
  <c r="G20" i="12" s="1"/>
  <c r="E21" i="12"/>
  <c r="G21" i="12" s="1"/>
  <c r="E22" i="12"/>
  <c r="G22" i="12" s="1"/>
  <c r="E23" i="12"/>
  <c r="G23" i="12" s="1"/>
  <c r="E24" i="12"/>
  <c r="G24" i="12" s="1"/>
  <c r="E25" i="12"/>
  <c r="G25" i="12" s="1"/>
  <c r="E15" i="12"/>
  <c r="B7" i="14" l="1"/>
  <c r="C25" i="12"/>
  <c r="D25" i="12" s="1"/>
  <c r="F25" i="12" s="1"/>
  <c r="H25" i="12" s="1"/>
  <c r="C20" i="12"/>
  <c r="D20" i="12" s="1"/>
  <c r="F20" i="12" s="1"/>
  <c r="H20" i="12" s="1"/>
  <c r="C21" i="12"/>
  <c r="D21" i="12" s="1"/>
  <c r="F21" i="12" s="1"/>
  <c r="H21" i="12" s="1"/>
  <c r="C22" i="12"/>
  <c r="D22" i="12" s="1"/>
  <c r="F22" i="12" s="1"/>
  <c r="H22" i="12" s="1"/>
  <c r="C23" i="12"/>
  <c r="D23" i="12" s="1"/>
  <c r="F23" i="12" s="1"/>
  <c r="H23" i="12" s="1"/>
  <c r="C24" i="12"/>
  <c r="D24" i="12" s="1"/>
  <c r="F24" i="12" s="1"/>
  <c r="H24" i="12" s="1"/>
  <c r="C18" i="12"/>
  <c r="D18" i="12"/>
  <c r="F18" i="12" s="1"/>
  <c r="H18" i="12" s="1"/>
  <c r="C19" i="12"/>
  <c r="D19" i="12" s="1"/>
  <c r="F19" i="12" s="1"/>
  <c r="H19" i="12" s="1"/>
  <c r="C17" i="12"/>
  <c r="D17" i="12" s="1"/>
  <c r="F17" i="12" s="1"/>
  <c r="C16" i="12"/>
  <c r="D16" i="12" s="1"/>
  <c r="G15" i="12"/>
  <c r="F15" i="12"/>
  <c r="S16" i="2"/>
  <c r="U16" i="2" s="1"/>
  <c r="S17" i="2"/>
  <c r="U17" i="2" s="1"/>
  <c r="S18" i="2"/>
  <c r="U18" i="2" s="1"/>
  <c r="S19" i="2"/>
  <c r="U19" i="2" s="1"/>
  <c r="S20" i="2"/>
  <c r="U20" i="2" s="1"/>
  <c r="S21" i="2"/>
  <c r="U21" i="2" s="1"/>
  <c r="S22" i="2"/>
  <c r="U22" i="2" s="1"/>
  <c r="S23" i="2"/>
  <c r="U23" i="2" s="1"/>
  <c r="S24" i="2"/>
  <c r="U24" i="2" s="1"/>
  <c r="S25" i="2"/>
  <c r="U25" i="2" s="1"/>
  <c r="S26" i="2"/>
  <c r="U26" i="2" s="1"/>
  <c r="S27" i="2"/>
  <c r="U27" i="2" s="1"/>
  <c r="L16" i="2"/>
  <c r="N16" i="2" s="1"/>
  <c r="L17" i="2"/>
  <c r="N17" i="2" s="1"/>
  <c r="L18" i="2"/>
  <c r="N18" i="2" s="1"/>
  <c r="L19" i="2"/>
  <c r="N19" i="2" s="1"/>
  <c r="L20" i="2"/>
  <c r="N20" i="2" s="1"/>
  <c r="L21" i="2"/>
  <c r="N21" i="2" s="1"/>
  <c r="L22" i="2"/>
  <c r="N22" i="2" s="1"/>
  <c r="L23" i="2"/>
  <c r="N23" i="2" s="1"/>
  <c r="L24" i="2"/>
  <c r="N24" i="2" s="1"/>
  <c r="L25" i="2"/>
  <c r="N25" i="2" s="1"/>
  <c r="L26" i="2"/>
  <c r="N26" i="2" s="1"/>
  <c r="L27" i="2"/>
  <c r="N27" i="2" s="1"/>
  <c r="L28" i="2"/>
  <c r="N28" i="2" s="1"/>
  <c r="E16" i="2"/>
  <c r="G16" i="2" s="1"/>
  <c r="E17" i="2"/>
  <c r="G17" i="2" s="1"/>
  <c r="E18" i="2"/>
  <c r="G18" i="2" s="1"/>
  <c r="E19" i="2"/>
  <c r="G19" i="2" s="1"/>
  <c r="E20" i="2"/>
  <c r="G20" i="2" s="1"/>
  <c r="E21" i="2"/>
  <c r="G21" i="2" s="1"/>
  <c r="E22" i="2"/>
  <c r="G22" i="2" s="1"/>
  <c r="E23" i="2"/>
  <c r="G23" i="2" s="1"/>
  <c r="E24" i="2"/>
  <c r="G24" i="2" s="1"/>
  <c r="S100" i="2"/>
  <c r="U100" i="2" s="1"/>
  <c r="L100" i="2"/>
  <c r="N100" i="2" s="1"/>
  <c r="E100" i="2"/>
  <c r="G100" i="2" s="1"/>
  <c r="S99" i="2"/>
  <c r="U99" i="2" s="1"/>
  <c r="L99" i="2"/>
  <c r="N99" i="2" s="1"/>
  <c r="E99" i="2"/>
  <c r="G99" i="2" s="1"/>
  <c r="S98" i="2"/>
  <c r="U98" i="2" s="1"/>
  <c r="L98" i="2"/>
  <c r="N98" i="2" s="1"/>
  <c r="E98" i="2"/>
  <c r="G98" i="2" s="1"/>
  <c r="S97" i="2"/>
  <c r="U97" i="2" s="1"/>
  <c r="L97" i="2"/>
  <c r="N97" i="2" s="1"/>
  <c r="E97" i="2"/>
  <c r="G97" i="2" s="1"/>
  <c r="S96" i="2"/>
  <c r="U96" i="2" s="1"/>
  <c r="L96" i="2"/>
  <c r="N96" i="2" s="1"/>
  <c r="E96" i="2"/>
  <c r="G96" i="2" s="1"/>
  <c r="S95" i="2"/>
  <c r="U95" i="2" s="1"/>
  <c r="L95" i="2"/>
  <c r="N95" i="2" s="1"/>
  <c r="E95" i="2"/>
  <c r="G95" i="2" s="1"/>
  <c r="S94" i="2"/>
  <c r="U94" i="2" s="1"/>
  <c r="L94" i="2"/>
  <c r="N94" i="2" s="1"/>
  <c r="E94" i="2"/>
  <c r="G94" i="2" s="1"/>
  <c r="S93" i="2"/>
  <c r="U93" i="2" s="1"/>
  <c r="L93" i="2"/>
  <c r="N93" i="2" s="1"/>
  <c r="E93" i="2"/>
  <c r="G93" i="2" s="1"/>
  <c r="S92" i="2"/>
  <c r="U92" i="2" s="1"/>
  <c r="L92" i="2"/>
  <c r="N92" i="2" s="1"/>
  <c r="E92" i="2"/>
  <c r="G92" i="2" s="1"/>
  <c r="S91" i="2"/>
  <c r="U91" i="2" s="1"/>
  <c r="L91" i="2"/>
  <c r="N91" i="2" s="1"/>
  <c r="E91" i="2"/>
  <c r="G91" i="2" s="1"/>
  <c r="S90" i="2"/>
  <c r="U90" i="2" s="1"/>
  <c r="L90" i="2"/>
  <c r="N90" i="2" s="1"/>
  <c r="E90" i="2"/>
  <c r="G90" i="2" s="1"/>
  <c r="S89" i="2"/>
  <c r="U89" i="2" s="1"/>
  <c r="L89" i="2"/>
  <c r="N89" i="2" s="1"/>
  <c r="E89" i="2"/>
  <c r="G89" i="2" s="1"/>
  <c r="S88" i="2"/>
  <c r="U88" i="2" s="1"/>
  <c r="L88" i="2"/>
  <c r="N88" i="2" s="1"/>
  <c r="E88" i="2"/>
  <c r="G88" i="2" s="1"/>
  <c r="S87" i="2"/>
  <c r="U87" i="2" s="1"/>
  <c r="L87" i="2"/>
  <c r="N87" i="2" s="1"/>
  <c r="E87" i="2"/>
  <c r="G87" i="2" s="1"/>
  <c r="S86" i="2"/>
  <c r="U86" i="2" s="1"/>
  <c r="L86" i="2"/>
  <c r="N86" i="2" s="1"/>
  <c r="E86" i="2"/>
  <c r="G86" i="2" s="1"/>
  <c r="S85" i="2"/>
  <c r="U85" i="2" s="1"/>
  <c r="L85" i="2"/>
  <c r="N85" i="2" s="1"/>
  <c r="E85" i="2"/>
  <c r="G85" i="2" s="1"/>
  <c r="S84" i="2"/>
  <c r="U84" i="2" s="1"/>
  <c r="L84" i="2"/>
  <c r="N84" i="2" s="1"/>
  <c r="E84" i="2"/>
  <c r="G84" i="2" s="1"/>
  <c r="S83" i="2"/>
  <c r="U83" i="2" s="1"/>
  <c r="L83" i="2"/>
  <c r="N83" i="2" s="1"/>
  <c r="E83" i="2"/>
  <c r="G83" i="2" s="1"/>
  <c r="S82" i="2"/>
  <c r="U82" i="2" s="1"/>
  <c r="L82" i="2"/>
  <c r="N82" i="2" s="1"/>
  <c r="E82" i="2"/>
  <c r="G82" i="2" s="1"/>
  <c r="S81" i="2"/>
  <c r="U81" i="2" s="1"/>
  <c r="L81" i="2"/>
  <c r="N81" i="2" s="1"/>
  <c r="E81" i="2"/>
  <c r="G81" i="2" s="1"/>
  <c r="S80" i="2"/>
  <c r="U80" i="2" s="1"/>
  <c r="L80" i="2"/>
  <c r="N80" i="2" s="1"/>
  <c r="E80" i="2"/>
  <c r="G80" i="2" s="1"/>
  <c r="S79" i="2"/>
  <c r="U79" i="2" s="1"/>
  <c r="L79" i="2"/>
  <c r="N79" i="2" s="1"/>
  <c r="E79" i="2"/>
  <c r="G79" i="2" s="1"/>
  <c r="S78" i="2"/>
  <c r="U78" i="2" s="1"/>
  <c r="L78" i="2"/>
  <c r="N78" i="2" s="1"/>
  <c r="E78" i="2"/>
  <c r="G78" i="2" s="1"/>
  <c r="S77" i="2"/>
  <c r="U77" i="2" s="1"/>
  <c r="L77" i="2"/>
  <c r="N77" i="2" s="1"/>
  <c r="E77" i="2"/>
  <c r="G77" i="2" s="1"/>
  <c r="S76" i="2"/>
  <c r="U76" i="2" s="1"/>
  <c r="L76" i="2"/>
  <c r="N76" i="2" s="1"/>
  <c r="E76" i="2"/>
  <c r="G76" i="2" s="1"/>
  <c r="S75" i="2"/>
  <c r="U75" i="2" s="1"/>
  <c r="L75" i="2"/>
  <c r="N75" i="2" s="1"/>
  <c r="E75" i="2"/>
  <c r="G75" i="2" s="1"/>
  <c r="S74" i="2"/>
  <c r="U74" i="2" s="1"/>
  <c r="L74" i="2"/>
  <c r="N74" i="2" s="1"/>
  <c r="E74" i="2"/>
  <c r="G74" i="2" s="1"/>
  <c r="S73" i="2"/>
  <c r="U73" i="2" s="1"/>
  <c r="L73" i="2"/>
  <c r="N73" i="2" s="1"/>
  <c r="E73" i="2"/>
  <c r="G73" i="2" s="1"/>
  <c r="S72" i="2"/>
  <c r="U72" i="2" s="1"/>
  <c r="L72" i="2"/>
  <c r="N72" i="2" s="1"/>
  <c r="E72" i="2"/>
  <c r="G72" i="2" s="1"/>
  <c r="S71" i="2"/>
  <c r="U71" i="2" s="1"/>
  <c r="L71" i="2"/>
  <c r="N71" i="2" s="1"/>
  <c r="E71" i="2"/>
  <c r="G71" i="2" s="1"/>
  <c r="S70" i="2"/>
  <c r="U70" i="2" s="1"/>
  <c r="L70" i="2"/>
  <c r="N70" i="2" s="1"/>
  <c r="E70" i="2"/>
  <c r="G70" i="2" s="1"/>
  <c r="S69" i="2"/>
  <c r="U69" i="2" s="1"/>
  <c r="L69" i="2"/>
  <c r="N69" i="2" s="1"/>
  <c r="E69" i="2"/>
  <c r="G69" i="2" s="1"/>
  <c r="S68" i="2"/>
  <c r="U68" i="2" s="1"/>
  <c r="L68" i="2"/>
  <c r="N68" i="2" s="1"/>
  <c r="E68" i="2"/>
  <c r="G68" i="2" s="1"/>
  <c r="S67" i="2"/>
  <c r="U67" i="2" s="1"/>
  <c r="L67" i="2"/>
  <c r="N67" i="2" s="1"/>
  <c r="E67" i="2"/>
  <c r="G67" i="2" s="1"/>
  <c r="S66" i="2"/>
  <c r="U66" i="2" s="1"/>
  <c r="L66" i="2"/>
  <c r="N66" i="2" s="1"/>
  <c r="E66" i="2"/>
  <c r="G66" i="2" s="1"/>
  <c r="S65" i="2"/>
  <c r="U65" i="2" s="1"/>
  <c r="L65" i="2"/>
  <c r="N65" i="2" s="1"/>
  <c r="E65" i="2"/>
  <c r="G65" i="2" s="1"/>
  <c r="S64" i="2"/>
  <c r="U64" i="2" s="1"/>
  <c r="L64" i="2"/>
  <c r="N64" i="2" s="1"/>
  <c r="E64" i="2"/>
  <c r="G64" i="2" s="1"/>
  <c r="S63" i="2"/>
  <c r="U63" i="2" s="1"/>
  <c r="L63" i="2"/>
  <c r="N63" i="2" s="1"/>
  <c r="E63" i="2"/>
  <c r="G63" i="2" s="1"/>
  <c r="S62" i="2"/>
  <c r="U62" i="2" s="1"/>
  <c r="L62" i="2"/>
  <c r="N62" i="2" s="1"/>
  <c r="E62" i="2"/>
  <c r="G62" i="2" s="1"/>
  <c r="S61" i="2"/>
  <c r="U61" i="2" s="1"/>
  <c r="L61" i="2"/>
  <c r="N61" i="2" s="1"/>
  <c r="E61" i="2"/>
  <c r="G61" i="2" s="1"/>
  <c r="S60" i="2"/>
  <c r="U60" i="2" s="1"/>
  <c r="L60" i="2"/>
  <c r="N60" i="2" s="1"/>
  <c r="E60" i="2"/>
  <c r="G60" i="2" s="1"/>
  <c r="S59" i="2"/>
  <c r="U59" i="2" s="1"/>
  <c r="L59" i="2"/>
  <c r="N59" i="2" s="1"/>
  <c r="E59" i="2"/>
  <c r="G59" i="2" s="1"/>
  <c r="S58" i="2"/>
  <c r="U58" i="2" s="1"/>
  <c r="L58" i="2"/>
  <c r="N58" i="2" s="1"/>
  <c r="E58" i="2"/>
  <c r="G58" i="2" s="1"/>
  <c r="S57" i="2"/>
  <c r="U57" i="2" s="1"/>
  <c r="L57" i="2"/>
  <c r="N57" i="2" s="1"/>
  <c r="E57" i="2"/>
  <c r="G57" i="2" s="1"/>
  <c r="S56" i="2"/>
  <c r="U56" i="2" s="1"/>
  <c r="L56" i="2"/>
  <c r="N56" i="2" s="1"/>
  <c r="E56" i="2"/>
  <c r="G56" i="2" s="1"/>
  <c r="S55" i="2"/>
  <c r="U55" i="2" s="1"/>
  <c r="L55" i="2"/>
  <c r="N55" i="2" s="1"/>
  <c r="E55" i="2"/>
  <c r="G55" i="2" s="1"/>
  <c r="S54" i="2"/>
  <c r="U54" i="2" s="1"/>
  <c r="L54" i="2"/>
  <c r="N54" i="2" s="1"/>
  <c r="E54" i="2"/>
  <c r="G54" i="2" s="1"/>
  <c r="S53" i="2"/>
  <c r="U53" i="2" s="1"/>
  <c r="L53" i="2"/>
  <c r="N53" i="2" s="1"/>
  <c r="E53" i="2"/>
  <c r="G53" i="2" s="1"/>
  <c r="S52" i="2"/>
  <c r="U52" i="2" s="1"/>
  <c r="L52" i="2"/>
  <c r="N52" i="2" s="1"/>
  <c r="E52" i="2"/>
  <c r="G52" i="2" s="1"/>
  <c r="S51" i="2"/>
  <c r="U51" i="2" s="1"/>
  <c r="L51" i="2"/>
  <c r="N51" i="2" s="1"/>
  <c r="E51" i="2"/>
  <c r="G51" i="2" s="1"/>
  <c r="S50" i="2"/>
  <c r="U50" i="2" s="1"/>
  <c r="L50" i="2"/>
  <c r="N50" i="2" s="1"/>
  <c r="E50" i="2"/>
  <c r="G50" i="2" s="1"/>
  <c r="S49" i="2"/>
  <c r="U49" i="2" s="1"/>
  <c r="L49" i="2"/>
  <c r="N49" i="2" s="1"/>
  <c r="E49" i="2"/>
  <c r="G49" i="2" s="1"/>
  <c r="S48" i="2"/>
  <c r="U48" i="2" s="1"/>
  <c r="L48" i="2"/>
  <c r="N48" i="2" s="1"/>
  <c r="E48" i="2"/>
  <c r="G48" i="2" s="1"/>
  <c r="S47" i="2"/>
  <c r="U47" i="2" s="1"/>
  <c r="L47" i="2"/>
  <c r="N47" i="2" s="1"/>
  <c r="E47" i="2"/>
  <c r="G47" i="2" s="1"/>
  <c r="S46" i="2"/>
  <c r="U46" i="2" s="1"/>
  <c r="L46" i="2"/>
  <c r="N46" i="2" s="1"/>
  <c r="E46" i="2"/>
  <c r="G46" i="2" s="1"/>
  <c r="S45" i="2"/>
  <c r="U45" i="2" s="1"/>
  <c r="L45" i="2"/>
  <c r="N45" i="2" s="1"/>
  <c r="E45" i="2"/>
  <c r="G45" i="2" s="1"/>
  <c r="S44" i="2"/>
  <c r="U44" i="2" s="1"/>
  <c r="L44" i="2"/>
  <c r="N44" i="2" s="1"/>
  <c r="E44" i="2"/>
  <c r="G44" i="2" s="1"/>
  <c r="S43" i="2"/>
  <c r="U43" i="2" s="1"/>
  <c r="L43" i="2"/>
  <c r="N43" i="2" s="1"/>
  <c r="E43" i="2"/>
  <c r="G43" i="2" s="1"/>
  <c r="S42" i="2"/>
  <c r="U42" i="2" s="1"/>
  <c r="L42" i="2"/>
  <c r="N42" i="2" s="1"/>
  <c r="E42" i="2"/>
  <c r="G42" i="2" s="1"/>
  <c r="S41" i="2"/>
  <c r="U41" i="2" s="1"/>
  <c r="L41" i="2"/>
  <c r="N41" i="2" s="1"/>
  <c r="E41" i="2"/>
  <c r="G41" i="2" s="1"/>
  <c r="S40" i="2"/>
  <c r="U40" i="2" s="1"/>
  <c r="L40" i="2"/>
  <c r="N40" i="2" s="1"/>
  <c r="E40" i="2"/>
  <c r="G40" i="2" s="1"/>
  <c r="S39" i="2"/>
  <c r="U39" i="2" s="1"/>
  <c r="L39" i="2"/>
  <c r="N39" i="2" s="1"/>
  <c r="E39" i="2"/>
  <c r="G39" i="2" s="1"/>
  <c r="S38" i="2"/>
  <c r="U38" i="2" s="1"/>
  <c r="L38" i="2"/>
  <c r="N38" i="2" s="1"/>
  <c r="E38" i="2"/>
  <c r="G38" i="2" s="1"/>
  <c r="S37" i="2"/>
  <c r="U37" i="2" s="1"/>
  <c r="L37" i="2"/>
  <c r="N37" i="2" s="1"/>
  <c r="E37" i="2"/>
  <c r="G37" i="2" s="1"/>
  <c r="S36" i="2"/>
  <c r="U36" i="2" s="1"/>
  <c r="L36" i="2"/>
  <c r="N36" i="2" s="1"/>
  <c r="E36" i="2"/>
  <c r="G36" i="2" s="1"/>
  <c r="S35" i="2"/>
  <c r="U35" i="2" s="1"/>
  <c r="L35" i="2"/>
  <c r="N35" i="2" s="1"/>
  <c r="E35" i="2"/>
  <c r="G35" i="2" s="1"/>
  <c r="S34" i="2"/>
  <c r="U34" i="2" s="1"/>
  <c r="L34" i="2"/>
  <c r="N34" i="2" s="1"/>
  <c r="E34" i="2"/>
  <c r="G34" i="2" s="1"/>
  <c r="S33" i="2"/>
  <c r="U33" i="2" s="1"/>
  <c r="L33" i="2"/>
  <c r="N33" i="2" s="1"/>
  <c r="E33" i="2"/>
  <c r="G33" i="2" s="1"/>
  <c r="S32" i="2"/>
  <c r="U32" i="2" s="1"/>
  <c r="L32" i="2"/>
  <c r="N32" i="2" s="1"/>
  <c r="E32" i="2"/>
  <c r="G32" i="2" s="1"/>
  <c r="S31" i="2"/>
  <c r="U31" i="2" s="1"/>
  <c r="L31" i="2"/>
  <c r="N31" i="2" s="1"/>
  <c r="E31" i="2"/>
  <c r="G31" i="2" s="1"/>
  <c r="S30" i="2"/>
  <c r="U30" i="2" s="1"/>
  <c r="L30" i="2"/>
  <c r="N30" i="2" s="1"/>
  <c r="E30" i="2"/>
  <c r="G30" i="2" s="1"/>
  <c r="S29" i="2"/>
  <c r="U29" i="2" s="1"/>
  <c r="L29" i="2"/>
  <c r="N29" i="2" s="1"/>
  <c r="E29" i="2"/>
  <c r="G29" i="2" s="1"/>
  <c r="S28" i="2"/>
  <c r="U28" i="2" s="1"/>
  <c r="E28" i="2"/>
  <c r="G28" i="2" s="1"/>
  <c r="E27" i="2"/>
  <c r="G27" i="2" s="1"/>
  <c r="E26" i="2"/>
  <c r="G26" i="2" s="1"/>
  <c r="E25" i="2"/>
  <c r="G25" i="2" s="1"/>
  <c r="X10" i="2"/>
  <c r="S15" i="2"/>
  <c r="U15" i="2" s="1"/>
  <c r="L15" i="2"/>
  <c r="N15" i="2" s="1"/>
  <c r="E15" i="2"/>
  <c r="G15" i="2" s="1"/>
  <c r="S14" i="2"/>
  <c r="U14" i="2" s="1"/>
  <c r="L14" i="2"/>
  <c r="N14" i="2" s="1"/>
  <c r="E14" i="2"/>
  <c r="G14" i="2" s="1"/>
  <c r="F16" i="12" l="1"/>
  <c r="H16" i="12" s="1"/>
  <c r="H15" i="12"/>
  <c r="H17" i="12"/>
  <c r="K17" i="12"/>
  <c r="K25" i="12"/>
  <c r="K24" i="12"/>
  <c r="K16" i="12"/>
  <c r="K23" i="12"/>
  <c r="K21" i="12"/>
  <c r="K22" i="12"/>
  <c r="K19" i="12"/>
  <c r="K20" i="12"/>
  <c r="K18" i="12"/>
  <c r="J15" i="12"/>
  <c r="K15" i="12" s="1"/>
</calcChain>
</file>

<file path=xl/sharedStrings.xml><?xml version="1.0" encoding="utf-8"?>
<sst xmlns="http://schemas.openxmlformats.org/spreadsheetml/2006/main" count="2814" uniqueCount="146">
  <si>
    <t>Story</t>
  </si>
  <si>
    <t>Load</t>
  </si>
  <si>
    <t>Loc</t>
  </si>
  <si>
    <t>P</t>
  </si>
  <si>
    <t>VX</t>
  </si>
  <si>
    <t>VY</t>
  </si>
  <si>
    <t>T</t>
  </si>
  <si>
    <t>MX</t>
  </si>
  <si>
    <t>MY</t>
  </si>
  <si>
    <t>DL</t>
  </si>
  <si>
    <t>Bottom</t>
  </si>
  <si>
    <t>0SPECX</t>
  </si>
  <si>
    <t>EQV</t>
  </si>
  <si>
    <t>SPECXF MAX</t>
  </si>
  <si>
    <t>2F</t>
  </si>
  <si>
    <t>1F</t>
  </si>
  <si>
    <t>FloorArea</t>
  </si>
  <si>
    <t>3F</t>
  </si>
  <si>
    <t>Top</t>
  </si>
  <si>
    <t>LL</t>
  </si>
  <si>
    <t>EQXB</t>
  </si>
  <si>
    <t>SPECXF MIN</t>
  </si>
  <si>
    <t>UX</t>
  </si>
  <si>
    <t>H</t>
  </si>
  <si>
    <t>I</t>
  </si>
  <si>
    <t>K</t>
  </si>
  <si>
    <t>W</t>
  </si>
  <si>
    <t>UY</t>
    <phoneticPr fontId="2" type="noConversion"/>
  </si>
  <si>
    <t>EQXP/P=</t>
    <phoneticPr fontId="2" type="noConversion"/>
  </si>
  <si>
    <t>RF</t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</si>
  <si>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</si>
  <si>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</si>
  <si>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</si>
  <si>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</si>
  <si>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</si>
  <si>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EQXP/0SPECX=</t>
    <phoneticPr fontId="2" type="noConversion"/>
  </si>
  <si>
    <t>FloorArea</t>
    <phoneticPr fontId="2" type="noConversion"/>
  </si>
  <si>
    <t>Unit Weight</t>
    <phoneticPr fontId="2" type="noConversion"/>
  </si>
  <si>
    <t>EQYB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</si>
  <si>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</si>
  <si>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</si>
  <si>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</si>
  <si>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</si>
  <si>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</si>
  <si>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t>Project</t>
    <phoneticPr fontId="2" type="noConversion"/>
  </si>
  <si>
    <t>Current version</t>
    <phoneticPr fontId="2" type="noConversion"/>
  </si>
  <si>
    <t xml:space="preserve"> </t>
  </si>
  <si>
    <t>V1.0</t>
  </si>
  <si>
    <t>V1.1</t>
  </si>
  <si>
    <t>V1.2</t>
  </si>
  <si>
    <t>V1.3</t>
  </si>
  <si>
    <t>V1.4</t>
  </si>
  <si>
    <t>2F</t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</si>
  <si>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靜態</t>
    </r>
  </si>
  <si>
    <t>Etabs Scan</t>
    <phoneticPr fontId="2" type="noConversion"/>
  </si>
  <si>
    <t>BASE</t>
  </si>
  <si>
    <t>Totals</t>
  </si>
  <si>
    <t>v2.0.0</t>
    <phoneticPr fontId="2" type="noConversion"/>
  </si>
  <si>
    <t>v2.0.1</t>
    <phoneticPr fontId="2" type="noConversion"/>
  </si>
  <si>
    <r>
      <rPr>
        <sz val="12"/>
        <color theme="1"/>
        <rFont val="微軟正黑體"/>
        <family val="2"/>
        <charset val="136"/>
      </rPr>
      <t>請輸入地震力篩選樓層：</t>
    </r>
    <phoneticPr fontId="2" type="noConversion"/>
  </si>
  <si>
    <t>B6</t>
  </si>
  <si>
    <t>B7</t>
  </si>
  <si>
    <t>B8</t>
  </si>
  <si>
    <t>B9</t>
  </si>
  <si>
    <t>B10</t>
  </si>
  <si>
    <t>v2.0.2</t>
    <phoneticPr fontId="2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</si>
  <si>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Assembled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</si>
  <si>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filter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</si>
  <si>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更改公式，使程式自動自動抓取數值</t>
    </r>
  </si>
  <si>
    <r>
      <rPr>
        <sz val="12"/>
        <color theme="1"/>
        <rFont val="微軟正黑體"/>
        <family val="2"/>
        <charset val="136"/>
      </rPr>
      <t>修正其他細微錯誤</t>
    </r>
  </si>
  <si>
    <r>
      <rPr>
        <sz val="12"/>
        <color theme="1"/>
        <rFont val="微軟正黑體"/>
        <family val="2"/>
        <charset val="136"/>
      </rPr>
      <t>修改程式介紹</t>
    </r>
  </si>
  <si>
    <r>
      <rPr>
        <sz val="12"/>
        <color theme="1"/>
        <rFont val="微軟正黑體"/>
        <family val="2"/>
        <charset val="136"/>
      </rPr>
      <t>更改程式名稱，增加相容性</t>
    </r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</si>
  <si>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>VLOOKUP</t>
    </r>
    <r>
      <rPr>
        <sz val="12"/>
        <color theme="1"/>
        <rFont val="微軟正黑體"/>
        <family val="2"/>
        <charset val="136"/>
      </rPr>
      <t>，增加便利性</t>
    </r>
  </si>
  <si>
    <r>
      <rPr>
        <sz val="12"/>
        <color theme="1"/>
        <rFont val="微軟正黑體"/>
        <family val="2"/>
        <charset val="136"/>
      </rPr>
      <t>整合</t>
    </r>
    <r>
      <rPr>
        <sz val="12"/>
        <color theme="1"/>
        <rFont val="Calibri"/>
        <family val="2"/>
      </rPr>
      <t xml:space="preserve"> 04 Check PPT</t>
    </r>
    <r>
      <rPr>
        <sz val="12"/>
        <color theme="1"/>
        <rFont val="微軟正黑體"/>
        <family val="2"/>
        <charset val="136"/>
      </rPr>
      <t>，簡化流程</t>
    </r>
  </si>
  <si>
    <r>
      <rPr>
        <sz val="12"/>
        <color theme="1"/>
        <rFont val="微軟正黑體"/>
        <family val="2"/>
        <charset val="136"/>
      </rPr>
      <t>新增地震力對照更新連結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</si>
  <si>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EQXB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</si>
  <si>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調整表格美觀</t>
    </r>
  </si>
  <si>
    <r>
      <rPr>
        <sz val="12"/>
        <color theme="1"/>
        <rFont val="微軟正黑體"/>
        <family val="2"/>
        <charset val="136"/>
      </rPr>
      <t>由單純的貼上改為純文字貼上</t>
    </r>
  </si>
  <si>
    <r>
      <rPr>
        <sz val="12"/>
        <color theme="1"/>
        <rFont val="微軟正黑體"/>
        <family val="2"/>
        <charset val="136"/>
      </rPr>
      <t>新增注意事項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</si>
  <si>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Unit Weight </t>
    </r>
    <r>
      <rPr>
        <sz val="12"/>
        <color theme="1"/>
        <rFont val="微軟正黑體"/>
        <family val="2"/>
        <charset val="136"/>
      </rPr>
      <t>錯誤</t>
    </r>
  </si>
  <si>
    <t>2.0.2</t>
    <phoneticPr fontId="2" type="noConversion"/>
  </si>
  <si>
    <r>
      <rPr>
        <sz val="12"/>
        <color theme="1"/>
        <rFont val="微軟正黑體"/>
        <family val="2"/>
        <charset val="136"/>
      </rPr>
      <t>修改格式</t>
    </r>
    <phoneticPr fontId="2" type="noConversion"/>
  </si>
  <si>
    <r>
      <rPr>
        <sz val="12"/>
        <color theme="1"/>
        <rFont val="微軟正黑體"/>
        <family val="2"/>
        <charset val="136"/>
      </rPr>
      <t>新增醒目提示，刪除贅述</t>
    </r>
    <phoneticPr fontId="2" type="noConversion"/>
  </si>
  <si>
    <r>
      <rPr>
        <sz val="12"/>
        <color theme="1"/>
        <rFont val="微軟正黑體"/>
        <family val="2"/>
        <charset val="136"/>
      </rPr>
      <t>更改輸入地震力樓層方式</t>
    </r>
    <phoneticPr fontId="2" type="noConversion"/>
  </si>
  <si>
    <r>
      <rPr>
        <sz val="12"/>
        <color theme="1"/>
        <rFont val="微軟正黑體"/>
        <family val="2"/>
        <charset val="136"/>
      </rPr>
      <t>新增版本控制</t>
    </r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</si>
  <si>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Assembled Bug</t>
    </r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</si>
  <si>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動態</t>
    </r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</si>
  <si>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</si>
  <si>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color theme="1"/>
        <rFont val="微軟正黑體"/>
        <family val="2"/>
        <charset val="136"/>
      </rPr>
      <t>篩選</t>
    </r>
    <r>
      <rPr>
        <sz val="12"/>
        <color theme="1"/>
        <rFont val="Calibri"/>
        <family val="2"/>
      </rPr>
      <t xml:space="preserve"> Assembled Point Masses</t>
    </r>
    <phoneticPr fontId="2" type="noConversion"/>
  </si>
  <si>
    <r>
      <rPr>
        <sz val="12"/>
        <color theme="1"/>
        <rFont val="微軟正黑體"/>
        <family val="2"/>
        <charset val="136"/>
      </rPr>
      <t>依據耐震設計規範</t>
    </r>
    <r>
      <rPr>
        <sz val="12"/>
        <color theme="1"/>
        <rFont val="Calibri"/>
        <family val="2"/>
      </rPr>
      <t>2.12</t>
    </r>
    <r>
      <rPr>
        <sz val="12"/>
        <color theme="1"/>
        <rFont val="微軟正黑體"/>
        <family val="2"/>
        <charset val="136"/>
      </rPr>
      <t>節</t>
    </r>
    <phoneticPr fontId="2" type="noConversion"/>
  </si>
  <si>
    <r>
      <t>S</t>
    </r>
    <r>
      <rPr>
        <vertAlign val="subscript"/>
        <sz val="12"/>
        <color rgb="FFFF0000"/>
        <rFont val="Calibri"/>
        <family val="2"/>
      </rPr>
      <t>DS</t>
    </r>
    <phoneticPr fontId="2" type="noConversion"/>
  </si>
  <si>
    <t>4F</t>
  </si>
  <si>
    <t>EQX</t>
  </si>
  <si>
    <r>
      <rPr>
        <sz val="12"/>
        <color theme="1"/>
        <rFont val="微軟正黑體"/>
        <family val="2"/>
        <charset val="136"/>
      </rPr>
      <t>跨距：</t>
    </r>
    <phoneticPr fontId="2" type="noConversion"/>
  </si>
  <si>
    <t>EQV/P=</t>
    <phoneticPr fontId="2" type="noConversion"/>
  </si>
  <si>
    <t>EQXP/SPECX MAX=</t>
    <phoneticPr fontId="2" type="noConversion"/>
  </si>
  <si>
    <t>#8</t>
    <phoneticPr fontId="2" type="noConversion"/>
  </si>
  <si>
    <t>#10</t>
    <phoneticPr fontId="2" type="noConversion"/>
  </si>
  <si>
    <r>
      <rPr>
        <sz val="12"/>
        <color theme="1"/>
        <rFont val="微軟正黑體"/>
        <family val="2"/>
        <charset val="136"/>
      </rPr>
      <t>柱</t>
    </r>
    <phoneticPr fontId="2" type="noConversion"/>
  </si>
  <si>
    <r>
      <rPr>
        <sz val="12"/>
        <color theme="1"/>
        <rFont val="微軟正黑體"/>
        <family val="2"/>
        <charset val="136"/>
      </rPr>
      <t>鋼筋尺寸</t>
    </r>
    <phoneticPr fontId="2" type="noConversion"/>
  </si>
  <si>
    <r>
      <rPr>
        <sz val="12"/>
        <color theme="1"/>
        <rFont val="微軟正黑體"/>
        <family val="2"/>
        <charset val="136"/>
      </rPr>
      <t>高度</t>
    </r>
    <phoneticPr fontId="2" type="noConversion"/>
  </si>
  <si>
    <t>Rigid Zone</t>
    <phoneticPr fontId="2" type="noConversion"/>
  </si>
  <si>
    <t>Scan Excel</t>
    <phoneticPr fontId="2" type="noConversion"/>
  </si>
  <si>
    <r>
      <rPr>
        <sz val="12"/>
        <color theme="1"/>
        <rFont val="微軟正黑體"/>
        <family val="2"/>
        <charset val="136"/>
      </rPr>
      <t>分析模態數</t>
    </r>
    <phoneticPr fontId="2" type="noConversion"/>
  </si>
  <si>
    <r>
      <rPr>
        <sz val="12"/>
        <color theme="1"/>
        <rFont val="微軟正黑體"/>
        <family val="2"/>
        <charset val="136"/>
      </rPr>
      <t>跨度</t>
    </r>
    <phoneticPr fontId="2" type="noConversion"/>
  </si>
  <si>
    <r>
      <rPr>
        <sz val="12"/>
        <color theme="1"/>
        <rFont val="微軟正黑體"/>
        <family val="2"/>
        <charset val="136"/>
      </rPr>
      <t>給定載重</t>
    </r>
    <phoneticPr fontId="2" type="noConversion"/>
  </si>
  <si>
    <r>
      <rPr>
        <sz val="12"/>
        <color theme="1"/>
        <rFont val="微軟正黑體"/>
        <family val="2"/>
        <charset val="136"/>
      </rPr>
      <t>複製下去</t>
    </r>
    <phoneticPr fontId="2" type="noConversion"/>
  </si>
  <si>
    <r>
      <rPr>
        <sz val="12"/>
        <color theme="1"/>
        <rFont val="微軟正黑體"/>
        <family val="2"/>
        <charset val="136"/>
      </rPr>
      <t>基礎鎖點</t>
    </r>
    <phoneticPr fontId="2" type="noConversion"/>
  </si>
  <si>
    <t>Diaphram</t>
    <phoneticPr fontId="2" type="noConversion"/>
  </si>
  <si>
    <r>
      <rPr>
        <sz val="12"/>
        <color theme="1"/>
        <rFont val="微軟正黑體"/>
        <family val="2"/>
        <charset val="136"/>
      </rPr>
      <t>放地震力</t>
    </r>
    <phoneticPr fontId="2" type="noConversion"/>
  </si>
  <si>
    <r>
      <rPr>
        <sz val="12"/>
        <color theme="1"/>
        <rFont val="微軟正黑體"/>
        <family val="2"/>
        <charset val="136"/>
      </rPr>
      <t>模型</t>
    </r>
    <r>
      <rPr>
        <sz val="12"/>
        <color theme="1"/>
        <rFont val="Calibri"/>
        <family val="2"/>
      </rPr>
      <t xml:space="preserve"> Check</t>
    </r>
    <phoneticPr fontId="2" type="noConversion"/>
  </si>
  <si>
    <r>
      <rPr>
        <sz val="12"/>
        <color theme="1"/>
        <rFont val="微軟正黑體"/>
        <family val="2"/>
        <charset val="136"/>
      </rPr>
      <t>樓層數</t>
    </r>
    <phoneticPr fontId="2" type="noConversion"/>
  </si>
  <si>
    <r>
      <rPr>
        <sz val="12"/>
        <color theme="1"/>
        <rFont val="微軟正黑體"/>
        <family val="2"/>
        <charset val="136"/>
      </rPr>
      <t>樓層名稱</t>
    </r>
    <phoneticPr fontId="2" type="noConversion"/>
  </si>
  <si>
    <r>
      <rPr>
        <sz val="12"/>
        <color theme="1"/>
        <rFont val="微軟正黑體"/>
        <family val="2"/>
        <charset val="136"/>
      </rPr>
      <t>定義斷面</t>
    </r>
    <phoneticPr fontId="2" type="noConversion"/>
  </si>
  <si>
    <r>
      <rPr>
        <sz val="12"/>
        <color theme="1"/>
        <rFont val="微軟正黑體"/>
        <family val="2"/>
        <charset val="136"/>
      </rPr>
      <t>折減係數</t>
    </r>
    <phoneticPr fontId="2" type="noConversion"/>
  </si>
  <si>
    <r>
      <rPr>
        <sz val="12"/>
        <color theme="1"/>
        <rFont val="微軟正黑體"/>
        <family val="2"/>
        <charset val="136"/>
      </rPr>
      <t>給定頂層梁柱斷面</t>
    </r>
    <phoneticPr fontId="2" type="noConversion"/>
  </si>
  <si>
    <r>
      <rPr>
        <sz val="12"/>
        <color theme="1"/>
        <rFont val="微軟正黑體"/>
        <family val="2"/>
        <charset val="136"/>
      </rPr>
      <t>地震力</t>
    </r>
    <r>
      <rPr>
        <sz val="12"/>
        <color theme="1"/>
        <rFont val="Calibri"/>
        <family val="2"/>
      </rPr>
      <t xml:space="preserve"> Excel</t>
    </r>
    <phoneticPr fontId="2" type="noConversion"/>
  </si>
  <si>
    <r>
      <rPr>
        <sz val="12"/>
        <color theme="1"/>
        <rFont val="微軟正黑體"/>
        <family val="2"/>
        <charset val="136"/>
      </rPr>
      <t>放反應譜</t>
    </r>
    <phoneticPr fontId="2" type="noConversion"/>
  </si>
  <si>
    <r>
      <rPr>
        <sz val="12"/>
        <color theme="1"/>
        <rFont val="微軟正黑體"/>
        <family val="2"/>
        <charset val="136"/>
      </rPr>
      <t>修正動態地震力</t>
    </r>
    <phoneticPr fontId="2" type="noConversion"/>
  </si>
  <si>
    <r>
      <rPr>
        <sz val="12"/>
        <color theme="1"/>
        <rFont val="微軟正黑體"/>
        <family val="2"/>
        <charset val="136"/>
      </rPr>
      <t>檢查重力</t>
    </r>
    <phoneticPr fontId="2" type="noConversion"/>
  </si>
  <si>
    <r>
      <rPr>
        <sz val="12"/>
        <color theme="1"/>
        <rFont val="微軟正黑體"/>
        <family val="2"/>
        <charset val="136"/>
      </rPr>
      <t>檢查地震力</t>
    </r>
    <phoneticPr fontId="2" type="noConversion"/>
  </si>
  <si>
    <r>
      <rPr>
        <sz val="12"/>
        <color theme="1"/>
        <rFont val="微軟正黑體"/>
        <family val="2"/>
        <charset val="136"/>
      </rPr>
      <t>調整尺寸</t>
    </r>
    <phoneticPr fontId="2" type="noConversion"/>
  </si>
  <si>
    <r>
      <rPr>
        <sz val="12"/>
        <color theme="1"/>
        <rFont val="微軟正黑體"/>
        <family val="2"/>
        <charset val="136"/>
      </rPr>
      <t>調整週期</t>
    </r>
    <phoneticPr fontId="2" type="noConversion"/>
  </si>
  <si>
    <r>
      <rPr>
        <sz val="12"/>
        <color theme="1"/>
        <rFont val="微軟正黑體"/>
        <family val="2"/>
        <charset val="136"/>
      </rPr>
      <t>層間位移</t>
    </r>
    <phoneticPr fontId="2" type="noConversion"/>
  </si>
  <si>
    <r>
      <rPr>
        <sz val="12"/>
        <color theme="1"/>
        <rFont val="微軟正黑體"/>
        <family val="2"/>
        <charset val="136"/>
      </rPr>
      <t>強柱弱梁</t>
    </r>
    <phoneticPr fontId="2" type="noConversion"/>
  </si>
  <si>
    <r>
      <t xml:space="preserve">P-Delta </t>
    </r>
    <r>
      <rPr>
        <sz val="12"/>
        <color theme="1"/>
        <rFont val="微軟正黑體"/>
        <family val="2"/>
        <charset val="136"/>
      </rPr>
      <t>收斂</t>
    </r>
    <phoneticPr fontId="2" type="noConversion"/>
  </si>
  <si>
    <r>
      <rPr>
        <sz val="12"/>
        <color theme="1"/>
        <rFont val="微軟正黑體"/>
        <family val="2"/>
        <charset val="136"/>
      </rPr>
      <t>梁切斷</t>
    </r>
    <r>
      <rPr>
        <sz val="12"/>
        <color theme="1"/>
        <rFont val="Calibri"/>
        <family val="2"/>
      </rPr>
      <t xml:space="preserve"> 10 cm</t>
    </r>
    <phoneticPr fontId="2" type="noConversion"/>
  </si>
  <si>
    <r>
      <t xml:space="preserve">4% </t>
    </r>
    <r>
      <rPr>
        <sz val="12"/>
        <color theme="1"/>
        <rFont val="微軟正黑體"/>
        <family val="2"/>
        <charset val="136"/>
      </rPr>
      <t>強柱弱梁</t>
    </r>
    <phoneticPr fontId="2" type="noConversion"/>
  </si>
  <si>
    <t>Point</t>
  </si>
  <si>
    <t>UY</t>
  </si>
  <si>
    <t>UZ</t>
  </si>
  <si>
    <t>RX</t>
  </si>
  <si>
    <t>RY</t>
  </si>
  <si>
    <t>RZ</t>
  </si>
  <si>
    <t>X</t>
  </si>
  <si>
    <t>Y</t>
  </si>
  <si>
    <t>Z</t>
  </si>
  <si>
    <t>12F</t>
  </si>
  <si>
    <t>11F</t>
  </si>
  <si>
    <t>10F</t>
  </si>
  <si>
    <t>9F</t>
  </si>
  <si>
    <t>8F</t>
  </si>
  <si>
    <t>7F</t>
  </si>
  <si>
    <t>6F</t>
  </si>
  <si>
    <t>5F</t>
  </si>
  <si>
    <t>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</si>
</sst>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.0000"/>
    <numFmt numFmtId="177" formatCode="0.0"/>
    <numFmt numFmtId="178" formatCode="0.0%"/>
  </numFmts>
  <fonts count="20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微軟正黑體"/>
      <family val="2"/>
      <charset val="136"/>
    </font>
    <font>
      <b/>
      <sz val="12"/>
      <color rgb="FFFA7D00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6500"/>
      <name val="微軟正黑體"/>
      <family val="2"/>
      <charset val="136"/>
    </font>
    <font>
      <sz val="12"/>
      <name val="Calibri"/>
      <family val="2"/>
    </font>
    <font>
      <sz val="12"/>
      <color rgb="FF9C6500"/>
      <name val="Calibri"/>
      <family val="2"/>
    </font>
    <font>
      <sz val="12"/>
      <color rgb="FF006100"/>
      <name val="Calibri"/>
      <family val="2"/>
    </font>
    <font>
      <b/>
      <sz val="12"/>
      <color rgb="FFFA7D00"/>
      <name val="Calibri"/>
      <family val="2"/>
    </font>
    <font>
      <sz val="12"/>
      <color theme="0"/>
      <name val="新細明體"/>
      <family val="2"/>
      <charset val="136"/>
      <scheme val="minor"/>
    </font>
    <font>
      <vertAlign val="subscript"/>
      <sz val="12"/>
      <color rgb="FFFF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6" fillId="4" borderId="1" applyNumberFormat="0" applyAlignment="0" applyProtection="0">
      <alignment vertical="center"/>
    </xf>
    <xf numFmtId="0" fontId="7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8" fillId="6" borderId="0" applyNumberFormat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</cellStyleXfs>
  <cellXfs count="42">
    <xf numFmtId="0" fontId="0" fillId="0" borderId="0" xfId="0">
      <alignment vertical="center"/>
    </xf>
    <xf numFmtId="0" fontId="0" fillId="0" borderId="0" xfId="0">
      <alignment vertical="center"/>
    </xf>
    <xf numFmtId="0" fontId="8" fillId="5" borderId="0" xfId="4" applyFont="1" applyFill="1" applyAlignment="1">
      <alignment horizontal="left" vertical="center"/>
    </xf>
    <xf numFmtId="0" fontId="11" fillId="5" borderId="0" xfId="5" applyFont="1" applyFill="1" applyAlignment="1">
      <alignment horizontal="left" vertical="center"/>
    </xf>
    <xf numFmtId="0" fontId="8" fillId="5" borderId="2" xfId="4" applyFont="1" applyFill="1" applyBorder="1" applyAlignment="1">
      <alignment horizontal="left" vertical="center"/>
    </xf>
    <xf numFmtId="0" fontId="8" fillId="5" borderId="0" xfId="6" applyFont="1" applyFill="1" applyAlignment="1">
      <alignment horizontal="center" vertical="center"/>
    </xf>
    <xf numFmtId="14" fontId="8" fillId="5" borderId="0" xfId="6" applyNumberFormat="1" applyFont="1" applyFill="1" applyAlignment="1">
      <alignment horizontal="center" vertical="center"/>
    </xf>
    <xf numFmtId="0" fontId="8" fillId="5" borderId="0" xfId="4" applyFont="1" applyFill="1" applyAlignment="1">
      <alignment horizontal="center" vertical="center"/>
    </xf>
    <xf numFmtId="177" fontId="9" fillId="5" borderId="0" xfId="4" applyNumberFormat="1" applyFont="1" applyFill="1" applyAlignment="1">
      <alignment horizontal="center" vertical="center"/>
    </xf>
    <xf numFmtId="0" fontId="8" fillId="5" borderId="2" xfId="4" applyFont="1" applyFill="1" applyBorder="1" applyAlignment="1">
      <alignment horizontal="center" vertical="center"/>
    </xf>
    <xf numFmtId="14" fontId="8" fillId="5" borderId="0" xfId="4" applyNumberFormat="1" applyFont="1" applyFill="1" applyAlignment="1">
      <alignment horizontal="center" vertical="center"/>
    </xf>
    <xf numFmtId="0" fontId="8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5" fillId="3" borderId="0" xfId="2" applyFont="1" applyAlignment="1">
      <alignment horizontal="center" vertical="center"/>
    </xf>
    <xf numFmtId="0" fontId="17" fillId="4" borderId="1" xfId="3" applyFont="1">
      <alignment vertical="center"/>
    </xf>
    <xf numFmtId="0" fontId="8" fillId="5" borderId="0" xfId="6" applyFont="1" applyFill="1" applyAlignment="1">
      <alignment horizontal="left" vertical="center"/>
    </xf>
    <xf numFmtId="176" fontId="16" fillId="2" borderId="0" xfId="1" applyNumberFormat="1" applyFont="1" applyAlignment="1">
      <alignment horizontal="center" vertical="center"/>
    </xf>
    <xf numFmtId="0" fontId="9" fillId="0" borderId="0" xfId="7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2" fontId="8" fillId="0" borderId="0" xfId="0" applyNumberFormat="1" applyFont="1" applyAlignment="1">
      <alignment horizontal="center" vertical="center"/>
    </xf>
    <xf numFmtId="0" fontId="9" fillId="5" borderId="0" xfId="4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left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left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/>
    </xf>
    <xf numFmtId="176" fontId="8" fillId="0" borderId="0" xfId="0" applyNumberFormat="1" applyFont="1" applyAlignment="1">
      <alignment horizontal="center" vertical="center"/>
    </xf>
    <xf numFmtId="178" fontId="8" fillId="0" borderId="0" xfId="8" applyNumberFormat="1" applyFont="1">
      <alignment vertical="center"/>
    </xf>
    <xf numFmtId="178" fontId="8" fillId="0" borderId="0" xfId="8" applyNumberFormat="1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10" fontId="8" fillId="0" borderId="0" xfId="8" applyNumberFormat="1" applyFont="1" applyAlignment="1">
      <alignment horizontal="center" vertical="center"/>
    </xf>
    <xf numFmtId="0" fontId="15" fillId="3" borderId="0" xfId="2" applyFont="1" applyAlignment="1">
      <alignment horizontal="center"/>
    </xf>
    <xf numFmtId="0" fontId="8" fillId="0" borderId="0" xfId="0" applyFont="1" applyAlignment="1">
      <alignment horizontal="right" vertical="center"/>
    </xf>
    <xf numFmtId="0" fontId="8" fillId="0" borderId="2" xfId="0" applyFont="1" applyBorder="1" applyAlignment="1">
      <alignment horizontal="center" vertical="center"/>
    </xf>
  </cellXfs>
  <cellStyles count="9">
    <cellStyle name="一般" xfId="0" builtinId="0"/>
    <cellStyle name="一般 2" xfId="4"/>
    <cellStyle name="一般 2 2" xfId="6"/>
    <cellStyle name="中等" xfId="2" builtinId="28"/>
    <cellStyle name="好" xfId="1" builtinId="26"/>
    <cellStyle name="百分比" xfId="8" builtinId="5"/>
    <cellStyle name="計算方式" xfId="3" builtinId="22"/>
    <cellStyle name="超連結" xfId="5" builtinId="8"/>
    <cellStyle name="輔色1" xfId="7" builtinId="29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0</xdr:colOff>
      <xdr:row>7</xdr:row>
      <xdr:rowOff>0</xdr:rowOff>
    </xdr:to>
    <xdr:sp macro="[0]!FilterData" textlink="">
      <xdr:nvSpPr>
        <xdr:cNvPr id="2" name="矩形 1">
          <a:extLst>
            <a:ext uri="{FF2B5EF4-FFF2-40B4-BE49-F238E27FC236}">
              <a16:creationId xmlns:a16="http://schemas.microsoft.com/office/drawing/2014/main" id="{A89855AD-D821-4ED8-8A55-57DFDCC14137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SCAN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24</xdr:col>
      <xdr:colOff>103733</xdr:colOff>
      <xdr:row>20</xdr:row>
      <xdr:rowOff>123352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05800" y="914400"/>
          <a:ext cx="8333333" cy="378095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3</xdr:col>
      <xdr:colOff>548640</xdr:colOff>
      <xdr:row>7</xdr:row>
      <xdr:rowOff>0</xdr:rowOff>
    </xdr:to>
    <xdr:sp macro="[0]!AssembledSub" textlink="">
      <xdr:nvSpPr>
        <xdr:cNvPr id="4" name="矩形 3">
          <a:extLst>
            <a:ext uri="{FF2B5EF4-FFF2-40B4-BE49-F238E27FC236}">
              <a16:creationId xmlns:a16="http://schemas.microsoft.com/office/drawing/2014/main" id="{13C88666-A614-4108-8350-BB2495006E5E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EQB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 filterMode="1">
    <tabColor theme="9" tint="0.39997558519241921"/>
  </sheetPr>
  <dimension ref="A1:K27"/>
  <sheetViews>
    <sheetView workbookViewId="0">
      <selection activeCell="C2" sqref="C2:C27"/>
    </sheetView>
  </sheetViews>
  <sheetFormatPr defaultColWidth="9" defaultRowHeight="16.5" x14ac:dyDescent="0.25"/>
  <cols>
    <col min="1" max="16384" width="9" style="1"/>
  </cols>
  <sheetData>
    <row r="1" spans="1:11" x14ac:dyDescent="0.25">
      <c r="A1" s="1" t="s">
        <v>0</v>
      </c>
      <c r="B1" s="1" t="s">
        <v>128</v>
      </c>
      <c r="C1" s="1" t="s">
        <v>22</v>
      </c>
      <c r="D1" s="1" t="s">
        <v>129</v>
      </c>
      <c r="E1" s="1" t="s">
        <v>130</v>
      </c>
      <c r="F1" s="1" t="s">
        <v>131</v>
      </c>
      <c r="G1" s="1" t="s">
        <v>132</v>
      </c>
      <c r="H1" s="1" t="s">
        <v>133</v>
      </c>
      <c r="I1" s="1" t="s">
        <v>134</v>
      </c>
      <c r="J1" s="1" t="s">
        <v>135</v>
      </c>
      <c r="K1" s="1" t="s">
        <v>136</v>
      </c>
    </row>
    <row r="2" spans="1:11" hidden="1" x14ac:dyDescent="0.25">
      <c r="A2" s="1" t="s">
        <v>29</v>
      </c>
      <c r="B2" s="1">
        <v>44</v>
      </c>
      <c r="C2" s="1">
        <v>29.734923999999999</v>
      </c>
      <c r="D2" s="1">
        <v>29.734923999999999</v>
      </c>
      <c r="E2" s="1">
        <v>0</v>
      </c>
      <c r="F2" s="1">
        <v>0</v>
      </c>
      <c r="G2" s="1">
        <v>0</v>
      </c>
      <c r="H2" s="1">
        <v>2207.818119</v>
      </c>
      <c r="I2" s="1">
        <v>13.5</v>
      </c>
      <c r="J2" s="1">
        <v>0</v>
      </c>
      <c r="K2" s="1">
        <v>48.5</v>
      </c>
    </row>
    <row r="3" spans="1:11" hidden="1" x14ac:dyDescent="0.25">
      <c r="A3" s="1" t="s">
        <v>137</v>
      </c>
      <c r="B3" s="1">
        <v>45</v>
      </c>
      <c r="C3" s="1">
        <v>29.734923999999999</v>
      </c>
      <c r="D3" s="1">
        <v>29.734923999999999</v>
      </c>
      <c r="E3" s="1">
        <v>0</v>
      </c>
      <c r="F3" s="1">
        <v>0</v>
      </c>
      <c r="G3" s="1">
        <v>0</v>
      </c>
      <c r="H3" s="1">
        <v>2207.818119</v>
      </c>
      <c r="I3" s="1">
        <v>13.5</v>
      </c>
      <c r="J3" s="1">
        <v>0</v>
      </c>
      <c r="K3" s="1">
        <v>44.5</v>
      </c>
    </row>
    <row r="4" spans="1:11" hidden="1" x14ac:dyDescent="0.25">
      <c r="A4" s="1" t="s">
        <v>138</v>
      </c>
      <c r="B4" s="1">
        <v>46</v>
      </c>
      <c r="C4" s="1">
        <v>29.734923999999999</v>
      </c>
      <c r="D4" s="1">
        <v>29.734923999999999</v>
      </c>
      <c r="E4" s="1">
        <v>0</v>
      </c>
      <c r="F4" s="1">
        <v>0</v>
      </c>
      <c r="G4" s="1">
        <v>0</v>
      </c>
      <c r="H4" s="1">
        <v>2207.818119</v>
      </c>
      <c r="I4" s="1">
        <v>13.5</v>
      </c>
      <c r="J4" s="1">
        <v>0</v>
      </c>
      <c r="K4" s="1">
        <v>40.5</v>
      </c>
    </row>
    <row r="5" spans="1:11" hidden="1" x14ac:dyDescent="0.25">
      <c r="A5" s="1" t="s">
        <v>139</v>
      </c>
      <c r="B5" s="1">
        <v>47</v>
      </c>
      <c r="C5" s="1">
        <v>29.734923999999999</v>
      </c>
      <c r="D5" s="1">
        <v>29.734923999999999</v>
      </c>
      <c r="E5" s="1">
        <v>0</v>
      </c>
      <c r="F5" s="1">
        <v>0</v>
      </c>
      <c r="G5" s="1">
        <v>0</v>
      </c>
      <c r="H5" s="1">
        <v>2207.818119</v>
      </c>
      <c r="I5" s="1">
        <v>13.5</v>
      </c>
      <c r="J5" s="1">
        <v>0</v>
      </c>
      <c r="K5" s="1">
        <v>36.5</v>
      </c>
    </row>
    <row r="6" spans="1:11" hidden="1" x14ac:dyDescent="0.25">
      <c r="A6" s="1" t="s">
        <v>140</v>
      </c>
      <c r="B6" s="1">
        <v>48</v>
      </c>
      <c r="C6" s="1">
        <v>29.734923999999999</v>
      </c>
      <c r="D6" s="1">
        <v>29.734923999999999</v>
      </c>
      <c r="E6" s="1">
        <v>0</v>
      </c>
      <c r="F6" s="1">
        <v>0</v>
      </c>
      <c r="G6" s="1">
        <v>0</v>
      </c>
      <c r="H6" s="1">
        <v>2207.818119</v>
      </c>
      <c r="I6" s="1">
        <v>13.5</v>
      </c>
      <c r="J6" s="1">
        <v>0</v>
      </c>
      <c r="K6" s="1">
        <v>32.5</v>
      </c>
    </row>
    <row r="7" spans="1:11" hidden="1" x14ac:dyDescent="0.25">
      <c r="A7" s="1" t="s">
        <v>141</v>
      </c>
      <c r="B7" s="1">
        <v>49</v>
      </c>
      <c r="C7" s="1">
        <v>29.734923999999999</v>
      </c>
      <c r="D7" s="1">
        <v>29.734923999999999</v>
      </c>
      <c r="E7" s="1">
        <v>0</v>
      </c>
      <c r="F7" s="1">
        <v>0</v>
      </c>
      <c r="G7" s="1">
        <v>0</v>
      </c>
      <c r="H7" s="1">
        <v>2207.818119</v>
      </c>
      <c r="I7" s="1">
        <v>13.5</v>
      </c>
      <c r="J7" s="1">
        <v>0</v>
      </c>
      <c r="K7" s="1">
        <v>28.5</v>
      </c>
    </row>
    <row r="8" spans="1:11" hidden="1" x14ac:dyDescent="0.25">
      <c r="A8" s="1" t="s">
        <v>142</v>
      </c>
      <c r="B8" s="1">
        <v>50</v>
      </c>
      <c r="C8" s="1">
        <v>29.734923999999999</v>
      </c>
      <c r="D8" s="1">
        <v>29.734923999999999</v>
      </c>
      <c r="E8" s="1">
        <v>0</v>
      </c>
      <c r="F8" s="1">
        <v>0</v>
      </c>
      <c r="G8" s="1">
        <v>0</v>
      </c>
      <c r="H8" s="1">
        <v>2207.818119</v>
      </c>
      <c r="I8" s="1">
        <v>13.5</v>
      </c>
      <c r="J8" s="1">
        <v>0</v>
      </c>
      <c r="K8" s="1">
        <v>24.5</v>
      </c>
    </row>
    <row r="9" spans="1:11" hidden="1" x14ac:dyDescent="0.25">
      <c r="A9" s="1" t="s">
        <v>143</v>
      </c>
      <c r="B9" s="1">
        <v>51</v>
      </c>
      <c r="C9" s="1">
        <v>29.734923999999999</v>
      </c>
      <c r="D9" s="1">
        <v>29.734923999999999</v>
      </c>
      <c r="E9" s="1">
        <v>0</v>
      </c>
      <c r="F9" s="1">
        <v>0</v>
      </c>
      <c r="G9" s="1">
        <v>0</v>
      </c>
      <c r="H9" s="1">
        <v>2207.818119</v>
      </c>
      <c r="I9" s="1">
        <v>13.5</v>
      </c>
      <c r="J9" s="1">
        <v>0</v>
      </c>
      <c r="K9" s="1">
        <v>20.5</v>
      </c>
    </row>
    <row r="10" spans="1:11" hidden="1" x14ac:dyDescent="0.25">
      <c r="A10" s="1" t="s">
        <v>144</v>
      </c>
      <c r="B10" s="1">
        <v>52</v>
      </c>
      <c r="C10" s="1">
        <v>29.734923999999999</v>
      </c>
      <c r="D10" s="1">
        <v>29.734923999999999</v>
      </c>
      <c r="E10" s="1">
        <v>0</v>
      </c>
      <c r="F10" s="1">
        <v>0</v>
      </c>
      <c r="G10" s="1">
        <v>0</v>
      </c>
      <c r="H10" s="1">
        <v>2207.818119</v>
      </c>
      <c r="I10" s="1">
        <v>13.5</v>
      </c>
      <c r="J10" s="1">
        <v>0</v>
      </c>
      <c r="K10" s="1">
        <v>16.5</v>
      </c>
    </row>
    <row r="11" spans="1:11" hidden="1" x14ac:dyDescent="0.25">
      <c r="A11" s="1" t="s">
        <v>91</v>
      </c>
      <c r="B11" s="1">
        <v>53</v>
      </c>
      <c r="C11" s="1">
        <v>29.734923999999999</v>
      </c>
      <c r="D11" s="1">
        <v>29.734923999999999</v>
      </c>
      <c r="E11" s="1">
        <v>0</v>
      </c>
      <c r="F11" s="1">
        <v>0</v>
      </c>
      <c r="G11" s="1">
        <v>0</v>
      </c>
      <c r="H11" s="1">
        <v>2207.818119</v>
      </c>
      <c r="I11" s="1">
        <v>13.5</v>
      </c>
      <c r="J11" s="1">
        <v>0</v>
      </c>
      <c r="K11" s="1">
        <v>12.5</v>
      </c>
    </row>
    <row r="12" spans="1:11" hidden="1" x14ac:dyDescent="0.25">
      <c r="A12" s="1" t="s">
        <v>17</v>
      </c>
      <c r="B12" s="1">
        <v>54</v>
      </c>
      <c r="C12" s="1">
        <v>29.734923999999999</v>
      </c>
      <c r="D12" s="1">
        <v>29.734923999999999</v>
      </c>
      <c r="E12" s="1">
        <v>0</v>
      </c>
      <c r="F12" s="1">
        <v>0</v>
      </c>
      <c r="G12" s="1">
        <v>0</v>
      </c>
      <c r="H12" s="1">
        <v>2207.818119</v>
      </c>
      <c r="I12" s="1">
        <v>13.5</v>
      </c>
      <c r="J12" s="1">
        <v>0</v>
      </c>
      <c r="K12" s="1">
        <v>8.5</v>
      </c>
    </row>
    <row r="13" spans="1:11" hidden="1" x14ac:dyDescent="0.25">
      <c r="A13" s="1" t="s">
        <v>14</v>
      </c>
      <c r="B13" s="1">
        <v>55</v>
      </c>
      <c r="C13" s="1">
        <v>29.734923999999999</v>
      </c>
      <c r="D13" s="1">
        <v>29.734923999999999</v>
      </c>
      <c r="E13" s="1">
        <v>0</v>
      </c>
      <c r="F13" s="1">
        <v>0</v>
      </c>
      <c r="G13" s="1">
        <v>0</v>
      </c>
      <c r="H13" s="1">
        <v>2207.818119</v>
      </c>
      <c r="I13" s="1">
        <v>13.5</v>
      </c>
      <c r="J13" s="1">
        <v>0</v>
      </c>
      <c r="K13" s="1">
        <v>4.5</v>
      </c>
    </row>
    <row r="14" spans="1:11" x14ac:dyDescent="0.25">
      <c r="A14" s="1" t="s">
        <v>29</v>
      </c>
      <c r="B14" s="1" t="s">
        <v>145</v>
      </c>
      <c r="C14" s="1">
        <v>29.734923999999999</v>
      </c>
      <c r="D14" s="1">
        <v>29.734923999999999</v>
      </c>
      <c r="E14" s="1">
        <v>0</v>
      </c>
      <c r="F14" s="1">
        <v>0</v>
      </c>
      <c r="G14" s="1">
        <v>0</v>
      </c>
      <c r="H14" s="1">
        <v>2207.818119</v>
      </c>
    </row>
    <row r="15" spans="1:11" x14ac:dyDescent="0.25">
      <c r="A15" s="1" t="s">
        <v>137</v>
      </c>
      <c r="B15" s="1" t="s">
        <v>145</v>
      </c>
      <c r="C15" s="1">
        <v>29.734923999999999</v>
      </c>
      <c r="D15" s="1">
        <v>29.734923999999999</v>
      </c>
      <c r="E15" s="1">
        <v>0</v>
      </c>
      <c r="F15" s="1">
        <v>0</v>
      </c>
      <c r="G15" s="1">
        <v>0</v>
      </c>
      <c r="H15" s="1">
        <v>2207.818119</v>
      </c>
    </row>
    <row r="16" spans="1:11" x14ac:dyDescent="0.25">
      <c r="A16" s="1" t="s">
        <v>138</v>
      </c>
      <c r="B16" s="1" t="s">
        <v>145</v>
      </c>
      <c r="C16" s="1">
        <v>29.734923999999999</v>
      </c>
      <c r="D16" s="1">
        <v>29.734923999999999</v>
      </c>
      <c r="E16" s="1">
        <v>0</v>
      </c>
      <c r="F16" s="1">
        <v>0</v>
      </c>
      <c r="G16" s="1">
        <v>0</v>
      </c>
      <c r="H16" s="1">
        <v>2207.818119</v>
      </c>
    </row>
    <row r="17" spans="1:8" x14ac:dyDescent="0.25">
      <c r="A17" s="1" t="s">
        <v>139</v>
      </c>
      <c r="B17" s="1" t="s">
        <v>145</v>
      </c>
      <c r="C17" s="1">
        <v>29.734923999999999</v>
      </c>
      <c r="D17" s="1">
        <v>29.734923999999999</v>
      </c>
      <c r="E17" s="1">
        <v>0</v>
      </c>
      <c r="F17" s="1">
        <v>0</v>
      </c>
      <c r="G17" s="1">
        <v>0</v>
      </c>
      <c r="H17" s="1">
        <v>2207.818119</v>
      </c>
    </row>
    <row r="18" spans="1:8" x14ac:dyDescent="0.25">
      <c r="A18" s="1" t="s">
        <v>140</v>
      </c>
      <c r="B18" s="1" t="s">
        <v>145</v>
      </c>
      <c r="C18" s="1">
        <v>29.734923999999999</v>
      </c>
      <c r="D18" s="1">
        <v>29.734923999999999</v>
      </c>
      <c r="E18" s="1">
        <v>0</v>
      </c>
      <c r="F18" s="1">
        <v>0</v>
      </c>
      <c r="G18" s="1">
        <v>0</v>
      </c>
      <c r="H18" s="1">
        <v>2207.818119</v>
      </c>
    </row>
    <row r="19" spans="1:8" x14ac:dyDescent="0.25">
      <c r="A19" s="1" t="s">
        <v>141</v>
      </c>
      <c r="B19" s="1" t="s">
        <v>145</v>
      </c>
      <c r="C19" s="1">
        <v>29.734923999999999</v>
      </c>
      <c r="D19" s="1">
        <v>29.734923999999999</v>
      </c>
      <c r="E19" s="1">
        <v>0</v>
      </c>
      <c r="F19" s="1">
        <v>0</v>
      </c>
      <c r="G19" s="1">
        <v>0</v>
      </c>
      <c r="H19" s="1">
        <v>2207.818119</v>
      </c>
    </row>
    <row r="20" spans="1:8" x14ac:dyDescent="0.25">
      <c r="A20" s="1" t="s">
        <v>142</v>
      </c>
      <c r="B20" s="1" t="s">
        <v>145</v>
      </c>
      <c r="C20" s="1">
        <v>29.734923999999999</v>
      </c>
      <c r="D20" s="1">
        <v>29.734923999999999</v>
      </c>
      <c r="E20" s="1">
        <v>0</v>
      </c>
      <c r="F20" s="1">
        <v>0</v>
      </c>
      <c r="G20" s="1">
        <v>0</v>
      </c>
      <c r="H20" s="1">
        <v>2207.818119</v>
      </c>
    </row>
    <row r="21" spans="1:8" x14ac:dyDescent="0.25">
      <c r="A21" s="1" t="s">
        <v>143</v>
      </c>
      <c r="B21" s="1" t="s">
        <v>145</v>
      </c>
      <c r="C21" s="1">
        <v>29.734923999999999</v>
      </c>
      <c r="D21" s="1">
        <v>29.734923999999999</v>
      </c>
      <c r="E21" s="1">
        <v>0</v>
      </c>
      <c r="F21" s="1">
        <v>0</v>
      </c>
      <c r="G21" s="1">
        <v>0</v>
      </c>
      <c r="H21" s="1">
        <v>2207.818119</v>
      </c>
    </row>
    <row r="22" spans="1:8" x14ac:dyDescent="0.25">
      <c r="A22" s="1" t="s">
        <v>144</v>
      </c>
      <c r="B22" s="1" t="s">
        <v>145</v>
      </c>
      <c r="C22" s="1">
        <v>29.734923999999999</v>
      </c>
      <c r="D22" s="1">
        <v>29.734923999999999</v>
      </c>
      <c r="E22" s="1">
        <v>0</v>
      </c>
      <c r="F22" s="1">
        <v>0</v>
      </c>
      <c r="G22" s="1">
        <v>0</v>
      </c>
      <c r="H22" s="1">
        <v>2207.818119</v>
      </c>
    </row>
    <row r="23" spans="1:8" x14ac:dyDescent="0.25">
      <c r="A23" s="1" t="s">
        <v>91</v>
      </c>
      <c r="B23" s="1" t="s">
        <v>145</v>
      </c>
      <c r="C23" s="1">
        <v>29.734923999999999</v>
      </c>
      <c r="D23" s="1">
        <v>29.734923999999999</v>
      </c>
      <c r="E23" s="1">
        <v>0</v>
      </c>
      <c r="F23" s="1">
        <v>0</v>
      </c>
      <c r="G23" s="1">
        <v>0</v>
      </c>
      <c r="H23" s="1">
        <v>2207.818119</v>
      </c>
    </row>
    <row r="24" spans="1:8" x14ac:dyDescent="0.25">
      <c r="A24" s="1" t="s">
        <v>17</v>
      </c>
      <c r="B24" s="1" t="s">
        <v>145</v>
      </c>
      <c r="C24" s="1">
        <v>29.734923999999999</v>
      </c>
      <c r="D24" s="1">
        <v>29.734923999999999</v>
      </c>
      <c r="E24" s="1">
        <v>0</v>
      </c>
      <c r="F24" s="1">
        <v>0</v>
      </c>
      <c r="G24" s="1">
        <v>0</v>
      </c>
      <c r="H24" s="1">
        <v>2207.818119</v>
      </c>
    </row>
    <row r="25" spans="1:8" x14ac:dyDescent="0.25">
      <c r="A25" s="1" t="s">
        <v>14</v>
      </c>
      <c r="B25" s="1" t="s">
        <v>145</v>
      </c>
      <c r="C25" s="1">
        <v>29.734923999999999</v>
      </c>
      <c r="D25" s="1">
        <v>29.734923999999999</v>
      </c>
      <c r="E25" s="1">
        <v>0</v>
      </c>
      <c r="F25" s="1">
        <v>0</v>
      </c>
      <c r="G25" s="1">
        <v>0</v>
      </c>
      <c r="H25" s="1">
        <v>2207.818119</v>
      </c>
    </row>
    <row r="26" spans="1:8" x14ac:dyDescent="0.25">
      <c r="A26" s="1" t="s">
        <v>55</v>
      </c>
      <c r="B26" s="1" t="s">
        <v>145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</row>
    <row r="27" spans="1:8" x14ac:dyDescent="0.25">
      <c r="A27" s="1" t="s">
        <v>56</v>
      </c>
      <c r="B27" s="1" t="s">
        <v>145</v>
      </c>
      <c r="C27" s="1">
        <v>356.81909000000002</v>
      </c>
      <c r="D27" s="1">
        <v>356.81909000000002</v>
      </c>
      <c r="E27" s="1">
        <v>0</v>
      </c>
      <c r="F27" s="1">
        <v>0</v>
      </c>
      <c r="G27" s="1">
        <v>0</v>
      </c>
      <c r="H27" s="1">
        <v>26493.817430999999</v>
      </c>
    </row>
  </sheetData>
  <autoFilter ref="A1:K27">
    <filterColumn colId="1">
      <filters>
        <filter val="All"/>
      </filters>
    </filterColumn>
  </autoFilter>
  <sortState ref="A2:K240">
    <sortCondition descending="1" ref="B2:B240"/>
  </sortState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theme="9" tint="0.39997558519241921"/>
  </sheetPr>
  <dimension ref="A1:I169"/>
  <sheetViews>
    <sheetView workbookViewId="0">
      <selection sqref="A1:XFD1048576"/>
    </sheetView>
  </sheetViews>
  <sheetFormatPr defaultColWidth="8.875" defaultRowHeight="16.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29</v>
      </c>
      <c r="B2" t="s">
        <v>9</v>
      </c>
      <c r="C2" t="s">
        <v>18</v>
      </c>
      <c r="D2">
        <v>291.60000000000002</v>
      </c>
      <c r="E2">
        <v>0</v>
      </c>
      <c r="F2">
        <v>0</v>
      </c>
      <c r="G2">
        <v>0</v>
      </c>
      <c r="H2">
        <v>0</v>
      </c>
      <c r="I2">
        <v>-3936.6</v>
      </c>
    </row>
    <row r="3" spans="1:9" x14ac:dyDescent="0.25">
      <c r="A3" t="s">
        <v>29</v>
      </c>
      <c r="B3" t="s">
        <v>9</v>
      </c>
      <c r="C3" t="s">
        <v>10</v>
      </c>
      <c r="D3">
        <v>291.60000000000002</v>
      </c>
      <c r="E3">
        <v>0</v>
      </c>
      <c r="F3">
        <v>0</v>
      </c>
      <c r="G3">
        <v>0</v>
      </c>
      <c r="H3">
        <v>0</v>
      </c>
      <c r="I3">
        <v>-3936.6</v>
      </c>
    </row>
    <row r="4" spans="1:9" x14ac:dyDescent="0.25">
      <c r="A4" t="s">
        <v>29</v>
      </c>
      <c r="B4" t="s">
        <v>19</v>
      </c>
      <c r="C4" t="s">
        <v>18</v>
      </c>
      <c r="D4">
        <v>72.900000000000006</v>
      </c>
      <c r="E4">
        <v>0</v>
      </c>
      <c r="F4">
        <v>0</v>
      </c>
      <c r="G4">
        <v>0</v>
      </c>
      <c r="H4">
        <v>0</v>
      </c>
      <c r="I4">
        <v>-984.15</v>
      </c>
    </row>
    <row r="5" spans="1:9" x14ac:dyDescent="0.25">
      <c r="A5" t="s">
        <v>29</v>
      </c>
      <c r="B5" t="s">
        <v>19</v>
      </c>
      <c r="C5" t="s">
        <v>10</v>
      </c>
      <c r="D5">
        <v>72.900000000000006</v>
      </c>
      <c r="E5">
        <v>0</v>
      </c>
      <c r="F5">
        <v>0</v>
      </c>
      <c r="G5">
        <v>0</v>
      </c>
      <c r="H5">
        <v>0</v>
      </c>
      <c r="I5">
        <v>-984.15</v>
      </c>
    </row>
    <row r="6" spans="1:9" x14ac:dyDescent="0.25">
      <c r="A6" t="s">
        <v>29</v>
      </c>
      <c r="B6" t="s">
        <v>92</v>
      </c>
      <c r="C6" t="s">
        <v>18</v>
      </c>
      <c r="D6">
        <v>0</v>
      </c>
      <c r="E6">
        <v>-34.58</v>
      </c>
      <c r="F6">
        <v>0</v>
      </c>
      <c r="G6">
        <v>0</v>
      </c>
      <c r="H6">
        <v>0</v>
      </c>
      <c r="I6">
        <v>0</v>
      </c>
    </row>
    <row r="7" spans="1:9" x14ac:dyDescent="0.25">
      <c r="A7" t="s">
        <v>29</v>
      </c>
      <c r="B7" t="s">
        <v>92</v>
      </c>
      <c r="C7" t="s">
        <v>10</v>
      </c>
      <c r="D7">
        <v>0</v>
      </c>
      <c r="E7">
        <v>-34.58</v>
      </c>
      <c r="F7">
        <v>0</v>
      </c>
      <c r="G7">
        <v>0</v>
      </c>
      <c r="H7">
        <v>0</v>
      </c>
      <c r="I7">
        <v>-139.57</v>
      </c>
    </row>
    <row r="8" spans="1:9" x14ac:dyDescent="0.25">
      <c r="A8" t="s">
        <v>29</v>
      </c>
      <c r="B8" t="s">
        <v>11</v>
      </c>
      <c r="C8" t="s">
        <v>18</v>
      </c>
      <c r="D8">
        <v>0</v>
      </c>
      <c r="E8">
        <v>38.51</v>
      </c>
      <c r="F8">
        <v>0</v>
      </c>
      <c r="G8">
        <v>0</v>
      </c>
      <c r="H8">
        <v>0</v>
      </c>
      <c r="I8">
        <v>0</v>
      </c>
    </row>
    <row r="9" spans="1:9" x14ac:dyDescent="0.25">
      <c r="A9" t="s">
        <v>29</v>
      </c>
      <c r="B9" t="s">
        <v>11</v>
      </c>
      <c r="C9" t="s">
        <v>10</v>
      </c>
      <c r="D9">
        <v>0</v>
      </c>
      <c r="E9">
        <v>38.51</v>
      </c>
      <c r="F9">
        <v>0</v>
      </c>
      <c r="G9">
        <v>0</v>
      </c>
      <c r="H9">
        <v>0</v>
      </c>
      <c r="I9">
        <v>155.20699999999999</v>
      </c>
    </row>
    <row r="10" spans="1:9" x14ac:dyDescent="0.25">
      <c r="A10" t="s">
        <v>29</v>
      </c>
      <c r="B10" t="s">
        <v>12</v>
      </c>
      <c r="C10" t="s">
        <v>18</v>
      </c>
      <c r="D10">
        <v>34.380000000000003</v>
      </c>
      <c r="E10">
        <v>0</v>
      </c>
      <c r="F10">
        <v>0</v>
      </c>
      <c r="G10">
        <v>0</v>
      </c>
      <c r="H10">
        <v>0</v>
      </c>
      <c r="I10">
        <v>-464.125</v>
      </c>
    </row>
    <row r="11" spans="1:9" x14ac:dyDescent="0.25">
      <c r="A11" t="s">
        <v>29</v>
      </c>
      <c r="B11" t="s">
        <v>12</v>
      </c>
      <c r="C11" t="s">
        <v>10</v>
      </c>
      <c r="D11">
        <v>34.380000000000003</v>
      </c>
      <c r="E11">
        <v>0</v>
      </c>
      <c r="F11">
        <v>0</v>
      </c>
      <c r="G11">
        <v>0</v>
      </c>
      <c r="H11">
        <v>0</v>
      </c>
      <c r="I11">
        <v>-464.125</v>
      </c>
    </row>
    <row r="12" spans="1:9" x14ac:dyDescent="0.25">
      <c r="A12" t="s">
        <v>29</v>
      </c>
      <c r="B12" t="s">
        <v>13</v>
      </c>
      <c r="C12" t="s">
        <v>18</v>
      </c>
      <c r="D12">
        <v>0</v>
      </c>
      <c r="E12">
        <v>46.69</v>
      </c>
      <c r="F12">
        <v>0</v>
      </c>
      <c r="G12">
        <v>0</v>
      </c>
      <c r="H12">
        <v>0</v>
      </c>
      <c r="I12">
        <v>0</v>
      </c>
    </row>
    <row r="13" spans="1:9" x14ac:dyDescent="0.25">
      <c r="A13" t="s">
        <v>29</v>
      </c>
      <c r="B13" t="s">
        <v>13</v>
      </c>
      <c r="C13" t="s">
        <v>10</v>
      </c>
      <c r="D13">
        <v>0</v>
      </c>
      <c r="E13">
        <v>46.69</v>
      </c>
      <c r="F13">
        <v>0</v>
      </c>
      <c r="G13">
        <v>0</v>
      </c>
      <c r="H13">
        <v>0</v>
      </c>
      <c r="I13">
        <v>188.14099999999999</v>
      </c>
    </row>
    <row r="14" spans="1:9" x14ac:dyDescent="0.25">
      <c r="A14" t="s">
        <v>29</v>
      </c>
      <c r="B14" t="s">
        <v>21</v>
      </c>
      <c r="C14" t="s">
        <v>18</v>
      </c>
      <c r="D14">
        <v>0</v>
      </c>
      <c r="E14">
        <v>-46.69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t="s">
        <v>29</v>
      </c>
      <c r="B15" t="s">
        <v>21</v>
      </c>
      <c r="C15" t="s">
        <v>10</v>
      </c>
      <c r="D15">
        <v>0</v>
      </c>
      <c r="E15">
        <v>-46.69</v>
      </c>
      <c r="F15">
        <v>0</v>
      </c>
      <c r="G15">
        <v>0</v>
      </c>
      <c r="H15">
        <v>0</v>
      </c>
      <c r="I15">
        <v>-188.14099999999999</v>
      </c>
    </row>
    <row r="16" spans="1:9" x14ac:dyDescent="0.25">
      <c r="A16" t="s">
        <v>137</v>
      </c>
      <c r="B16" t="s">
        <v>9</v>
      </c>
      <c r="C16" t="s">
        <v>18</v>
      </c>
      <c r="D16">
        <v>583.20000000000005</v>
      </c>
      <c r="E16">
        <v>0</v>
      </c>
      <c r="F16">
        <v>0</v>
      </c>
      <c r="G16">
        <v>0</v>
      </c>
      <c r="H16">
        <v>0</v>
      </c>
      <c r="I16">
        <v>-7873.2</v>
      </c>
    </row>
    <row r="17" spans="1:9" x14ac:dyDescent="0.25">
      <c r="A17" t="s">
        <v>137</v>
      </c>
      <c r="B17" t="s">
        <v>9</v>
      </c>
      <c r="C17" t="s">
        <v>10</v>
      </c>
      <c r="D17">
        <v>583.20000000000005</v>
      </c>
      <c r="E17">
        <v>0</v>
      </c>
      <c r="F17">
        <v>0</v>
      </c>
      <c r="G17">
        <v>0</v>
      </c>
      <c r="H17">
        <v>0</v>
      </c>
      <c r="I17">
        <v>-7873.2</v>
      </c>
    </row>
    <row r="18" spans="1:9" x14ac:dyDescent="0.25">
      <c r="A18" t="s">
        <v>137</v>
      </c>
      <c r="B18" t="s">
        <v>19</v>
      </c>
      <c r="C18" t="s">
        <v>18</v>
      </c>
      <c r="D18">
        <v>145.80000000000001</v>
      </c>
      <c r="E18">
        <v>0</v>
      </c>
      <c r="F18">
        <v>0</v>
      </c>
      <c r="G18">
        <v>0</v>
      </c>
      <c r="H18">
        <v>0</v>
      </c>
      <c r="I18">
        <v>-1968.3</v>
      </c>
    </row>
    <row r="19" spans="1:9" x14ac:dyDescent="0.25">
      <c r="A19" t="s">
        <v>137</v>
      </c>
      <c r="B19" t="s">
        <v>19</v>
      </c>
      <c r="C19" t="s">
        <v>10</v>
      </c>
      <c r="D19">
        <v>145.80000000000001</v>
      </c>
      <c r="E19">
        <v>0</v>
      </c>
      <c r="F19">
        <v>0</v>
      </c>
      <c r="G19">
        <v>0</v>
      </c>
      <c r="H19">
        <v>0</v>
      </c>
      <c r="I19">
        <v>-1968.3</v>
      </c>
    </row>
    <row r="20" spans="1:9" x14ac:dyDescent="0.25">
      <c r="A20" t="s">
        <v>137</v>
      </c>
      <c r="B20" t="s">
        <v>92</v>
      </c>
      <c r="C20" t="s">
        <v>18</v>
      </c>
      <c r="D20">
        <v>0</v>
      </c>
      <c r="E20">
        <v>-66.31</v>
      </c>
      <c r="F20">
        <v>0</v>
      </c>
      <c r="G20">
        <v>0</v>
      </c>
      <c r="H20">
        <v>0</v>
      </c>
      <c r="I20">
        <v>-139.57</v>
      </c>
    </row>
    <row r="21" spans="1:9" x14ac:dyDescent="0.25">
      <c r="A21" t="s">
        <v>137</v>
      </c>
      <c r="B21" t="s">
        <v>92</v>
      </c>
      <c r="C21" t="s">
        <v>10</v>
      </c>
      <c r="D21">
        <v>0</v>
      </c>
      <c r="E21">
        <v>-66.31</v>
      </c>
      <c r="F21">
        <v>0</v>
      </c>
      <c r="G21">
        <v>0</v>
      </c>
      <c r="H21">
        <v>0</v>
      </c>
      <c r="I21">
        <v>-408.779</v>
      </c>
    </row>
    <row r="22" spans="1:9" x14ac:dyDescent="0.25">
      <c r="A22" t="s">
        <v>137</v>
      </c>
      <c r="B22" t="s">
        <v>11</v>
      </c>
      <c r="C22" t="s">
        <v>18</v>
      </c>
      <c r="D22">
        <v>0</v>
      </c>
      <c r="E22">
        <v>65.52</v>
      </c>
      <c r="F22">
        <v>0</v>
      </c>
      <c r="G22">
        <v>0</v>
      </c>
      <c r="H22">
        <v>0</v>
      </c>
      <c r="I22">
        <v>155.20699999999999</v>
      </c>
    </row>
    <row r="23" spans="1:9" x14ac:dyDescent="0.25">
      <c r="A23" t="s">
        <v>137</v>
      </c>
      <c r="B23" t="s">
        <v>11</v>
      </c>
      <c r="C23" t="s">
        <v>10</v>
      </c>
      <c r="D23">
        <v>0</v>
      </c>
      <c r="E23">
        <v>65.52</v>
      </c>
      <c r="F23">
        <v>0</v>
      </c>
      <c r="G23">
        <v>0</v>
      </c>
      <c r="H23">
        <v>0</v>
      </c>
      <c r="I23">
        <v>415.81700000000001</v>
      </c>
    </row>
    <row r="24" spans="1:9" x14ac:dyDescent="0.25">
      <c r="A24" t="s">
        <v>137</v>
      </c>
      <c r="B24" t="s">
        <v>12</v>
      </c>
      <c r="C24" t="s">
        <v>18</v>
      </c>
      <c r="D24">
        <v>68.760000000000005</v>
      </c>
      <c r="E24">
        <v>0</v>
      </c>
      <c r="F24">
        <v>0</v>
      </c>
      <c r="G24">
        <v>0</v>
      </c>
      <c r="H24">
        <v>0</v>
      </c>
      <c r="I24">
        <v>-928.25</v>
      </c>
    </row>
    <row r="25" spans="1:9" x14ac:dyDescent="0.25">
      <c r="A25" t="s">
        <v>137</v>
      </c>
      <c r="B25" t="s">
        <v>12</v>
      </c>
      <c r="C25" t="s">
        <v>10</v>
      </c>
      <c r="D25">
        <v>68.760000000000005</v>
      </c>
      <c r="E25">
        <v>0</v>
      </c>
      <c r="F25">
        <v>0</v>
      </c>
      <c r="G25">
        <v>0</v>
      </c>
      <c r="H25">
        <v>0</v>
      </c>
      <c r="I25">
        <v>-928.25</v>
      </c>
    </row>
    <row r="26" spans="1:9" x14ac:dyDescent="0.25">
      <c r="A26" t="s">
        <v>137</v>
      </c>
      <c r="B26" t="s">
        <v>13</v>
      </c>
      <c r="C26" t="s">
        <v>18</v>
      </c>
      <c r="D26">
        <v>0</v>
      </c>
      <c r="E26">
        <v>79.42</v>
      </c>
      <c r="F26">
        <v>0</v>
      </c>
      <c r="G26">
        <v>0</v>
      </c>
      <c r="H26">
        <v>0</v>
      </c>
      <c r="I26">
        <v>188.14099999999999</v>
      </c>
    </row>
    <row r="27" spans="1:9" x14ac:dyDescent="0.25">
      <c r="A27" t="s">
        <v>137</v>
      </c>
      <c r="B27" t="s">
        <v>13</v>
      </c>
      <c r="C27" t="s">
        <v>10</v>
      </c>
      <c r="D27">
        <v>0</v>
      </c>
      <c r="E27">
        <v>79.42</v>
      </c>
      <c r="F27">
        <v>0</v>
      </c>
      <c r="G27">
        <v>0</v>
      </c>
      <c r="H27">
        <v>0</v>
      </c>
      <c r="I27">
        <v>504.053</v>
      </c>
    </row>
    <row r="28" spans="1:9" x14ac:dyDescent="0.25">
      <c r="A28" t="s">
        <v>137</v>
      </c>
      <c r="B28" t="s">
        <v>21</v>
      </c>
      <c r="C28" t="s">
        <v>18</v>
      </c>
      <c r="D28">
        <v>0</v>
      </c>
      <c r="E28">
        <v>-79.42</v>
      </c>
      <c r="F28">
        <v>0</v>
      </c>
      <c r="G28">
        <v>0</v>
      </c>
      <c r="H28">
        <v>0</v>
      </c>
      <c r="I28">
        <v>-188.14099999999999</v>
      </c>
    </row>
    <row r="29" spans="1:9" x14ac:dyDescent="0.25">
      <c r="A29" t="s">
        <v>137</v>
      </c>
      <c r="B29" t="s">
        <v>21</v>
      </c>
      <c r="C29" t="s">
        <v>10</v>
      </c>
      <c r="D29">
        <v>0</v>
      </c>
      <c r="E29">
        <v>-79.42</v>
      </c>
      <c r="F29">
        <v>0</v>
      </c>
      <c r="G29">
        <v>0</v>
      </c>
      <c r="H29">
        <v>0</v>
      </c>
      <c r="I29">
        <v>-504.053</v>
      </c>
    </row>
    <row r="30" spans="1:9" x14ac:dyDescent="0.25">
      <c r="A30" t="s">
        <v>138</v>
      </c>
      <c r="B30" t="s">
        <v>9</v>
      </c>
      <c r="C30" t="s">
        <v>18</v>
      </c>
      <c r="D30">
        <v>874.8</v>
      </c>
      <c r="E30">
        <v>0</v>
      </c>
      <c r="F30">
        <v>0</v>
      </c>
      <c r="G30">
        <v>0</v>
      </c>
      <c r="H30">
        <v>0</v>
      </c>
      <c r="I30">
        <v>-11809.8</v>
      </c>
    </row>
    <row r="31" spans="1:9" x14ac:dyDescent="0.25">
      <c r="A31" t="s">
        <v>138</v>
      </c>
      <c r="B31" t="s">
        <v>9</v>
      </c>
      <c r="C31" t="s">
        <v>10</v>
      </c>
      <c r="D31">
        <v>874.8</v>
      </c>
      <c r="E31">
        <v>0</v>
      </c>
      <c r="F31">
        <v>0</v>
      </c>
      <c r="G31">
        <v>0</v>
      </c>
      <c r="H31">
        <v>0</v>
      </c>
      <c r="I31">
        <v>-11809.8</v>
      </c>
    </row>
    <row r="32" spans="1:9" x14ac:dyDescent="0.25">
      <c r="A32" t="s">
        <v>138</v>
      </c>
      <c r="B32" t="s">
        <v>19</v>
      </c>
      <c r="C32" t="s">
        <v>18</v>
      </c>
      <c r="D32">
        <v>218.7</v>
      </c>
      <c r="E32">
        <v>0</v>
      </c>
      <c r="F32">
        <v>0</v>
      </c>
      <c r="G32">
        <v>0</v>
      </c>
      <c r="H32">
        <v>0</v>
      </c>
      <c r="I32">
        <v>-2952.45</v>
      </c>
    </row>
    <row r="33" spans="1:9" x14ac:dyDescent="0.25">
      <c r="A33" t="s">
        <v>138</v>
      </c>
      <c r="B33" t="s">
        <v>19</v>
      </c>
      <c r="C33" t="s">
        <v>10</v>
      </c>
      <c r="D33">
        <v>218.7</v>
      </c>
      <c r="E33">
        <v>0</v>
      </c>
      <c r="F33">
        <v>0</v>
      </c>
      <c r="G33">
        <v>0</v>
      </c>
      <c r="H33">
        <v>0</v>
      </c>
      <c r="I33">
        <v>-2952.45</v>
      </c>
    </row>
    <row r="34" spans="1:9" x14ac:dyDescent="0.25">
      <c r="A34" t="s">
        <v>138</v>
      </c>
      <c r="B34" t="s">
        <v>92</v>
      </c>
      <c r="C34" t="s">
        <v>18</v>
      </c>
      <c r="D34">
        <v>0</v>
      </c>
      <c r="E34">
        <v>-95.19</v>
      </c>
      <c r="F34">
        <v>0</v>
      </c>
      <c r="G34">
        <v>0</v>
      </c>
      <c r="H34">
        <v>0</v>
      </c>
      <c r="I34">
        <v>-408.779</v>
      </c>
    </row>
    <row r="35" spans="1:9" x14ac:dyDescent="0.25">
      <c r="A35" t="s">
        <v>138</v>
      </c>
      <c r="B35" t="s">
        <v>92</v>
      </c>
      <c r="C35" t="s">
        <v>10</v>
      </c>
      <c r="D35">
        <v>0</v>
      </c>
      <c r="E35">
        <v>-95.19</v>
      </c>
      <c r="F35">
        <v>0</v>
      </c>
      <c r="G35">
        <v>0</v>
      </c>
      <c r="H35">
        <v>0</v>
      </c>
      <c r="I35">
        <v>-797.76599999999996</v>
      </c>
    </row>
    <row r="36" spans="1:9" x14ac:dyDescent="0.25">
      <c r="A36" t="s">
        <v>138</v>
      </c>
      <c r="B36" t="s">
        <v>11</v>
      </c>
      <c r="C36" t="s">
        <v>18</v>
      </c>
      <c r="D36">
        <v>0</v>
      </c>
      <c r="E36">
        <v>86.41</v>
      </c>
      <c r="F36">
        <v>0</v>
      </c>
      <c r="G36">
        <v>0</v>
      </c>
      <c r="H36">
        <v>0</v>
      </c>
      <c r="I36">
        <v>415.81700000000001</v>
      </c>
    </row>
    <row r="37" spans="1:9" x14ac:dyDescent="0.25">
      <c r="A37" t="s">
        <v>138</v>
      </c>
      <c r="B37" t="s">
        <v>11</v>
      </c>
      <c r="C37" t="s">
        <v>10</v>
      </c>
      <c r="D37">
        <v>0</v>
      </c>
      <c r="E37">
        <v>86.41</v>
      </c>
      <c r="F37">
        <v>0</v>
      </c>
      <c r="G37">
        <v>0</v>
      </c>
      <c r="H37">
        <v>0</v>
      </c>
      <c r="I37">
        <v>756.31600000000003</v>
      </c>
    </row>
    <row r="38" spans="1:9" x14ac:dyDescent="0.25">
      <c r="A38" t="s">
        <v>138</v>
      </c>
      <c r="B38" t="s">
        <v>12</v>
      </c>
      <c r="C38" t="s">
        <v>18</v>
      </c>
      <c r="D38">
        <v>103.14</v>
      </c>
      <c r="E38">
        <v>0</v>
      </c>
      <c r="F38">
        <v>0</v>
      </c>
      <c r="G38">
        <v>0</v>
      </c>
      <c r="H38">
        <v>0</v>
      </c>
      <c r="I38">
        <v>-1392.375</v>
      </c>
    </row>
    <row r="39" spans="1:9" x14ac:dyDescent="0.25">
      <c r="A39" t="s">
        <v>138</v>
      </c>
      <c r="B39" t="s">
        <v>12</v>
      </c>
      <c r="C39" t="s">
        <v>10</v>
      </c>
      <c r="D39">
        <v>103.14</v>
      </c>
      <c r="E39">
        <v>0</v>
      </c>
      <c r="F39">
        <v>0</v>
      </c>
      <c r="G39">
        <v>0</v>
      </c>
      <c r="H39">
        <v>0</v>
      </c>
      <c r="I39">
        <v>-1392.375</v>
      </c>
    </row>
    <row r="40" spans="1:9" x14ac:dyDescent="0.25">
      <c r="A40" t="s">
        <v>138</v>
      </c>
      <c r="B40" t="s">
        <v>13</v>
      </c>
      <c r="C40" t="s">
        <v>18</v>
      </c>
      <c r="D40">
        <v>0</v>
      </c>
      <c r="E40">
        <v>104.75</v>
      </c>
      <c r="F40">
        <v>0</v>
      </c>
      <c r="G40">
        <v>0</v>
      </c>
      <c r="H40">
        <v>0</v>
      </c>
      <c r="I40">
        <v>504.053</v>
      </c>
    </row>
    <row r="41" spans="1:9" x14ac:dyDescent="0.25">
      <c r="A41" t="s">
        <v>138</v>
      </c>
      <c r="B41" t="s">
        <v>13</v>
      </c>
      <c r="C41" t="s">
        <v>10</v>
      </c>
      <c r="D41">
        <v>0</v>
      </c>
      <c r="E41">
        <v>104.75</v>
      </c>
      <c r="F41">
        <v>0</v>
      </c>
      <c r="G41">
        <v>0</v>
      </c>
      <c r="H41">
        <v>0</v>
      </c>
      <c r="I41">
        <v>916.80600000000004</v>
      </c>
    </row>
    <row r="42" spans="1:9" x14ac:dyDescent="0.25">
      <c r="A42" t="s">
        <v>138</v>
      </c>
      <c r="B42" t="s">
        <v>21</v>
      </c>
      <c r="C42" t="s">
        <v>18</v>
      </c>
      <c r="D42">
        <v>0</v>
      </c>
      <c r="E42">
        <v>-104.75</v>
      </c>
      <c r="F42">
        <v>0</v>
      </c>
      <c r="G42">
        <v>0</v>
      </c>
      <c r="H42">
        <v>0</v>
      </c>
      <c r="I42">
        <v>-504.053</v>
      </c>
    </row>
    <row r="43" spans="1:9" x14ac:dyDescent="0.25">
      <c r="A43" t="s">
        <v>138</v>
      </c>
      <c r="B43" t="s">
        <v>21</v>
      </c>
      <c r="C43" t="s">
        <v>10</v>
      </c>
      <c r="D43">
        <v>0</v>
      </c>
      <c r="E43">
        <v>-104.75</v>
      </c>
      <c r="F43">
        <v>0</v>
      </c>
      <c r="G43">
        <v>0</v>
      </c>
      <c r="H43">
        <v>0</v>
      </c>
      <c r="I43">
        <v>-916.80600000000004</v>
      </c>
    </row>
    <row r="44" spans="1:9" x14ac:dyDescent="0.25">
      <c r="A44" t="s">
        <v>139</v>
      </c>
      <c r="B44" t="s">
        <v>9</v>
      </c>
      <c r="C44" t="s">
        <v>18</v>
      </c>
      <c r="D44">
        <v>1166.4000000000001</v>
      </c>
      <c r="E44">
        <v>0</v>
      </c>
      <c r="F44">
        <v>0</v>
      </c>
      <c r="G44">
        <v>0</v>
      </c>
      <c r="H44">
        <v>0</v>
      </c>
      <c r="I44">
        <v>-15746.4</v>
      </c>
    </row>
    <row r="45" spans="1:9" x14ac:dyDescent="0.25">
      <c r="A45" t="s">
        <v>139</v>
      </c>
      <c r="B45" t="s">
        <v>9</v>
      </c>
      <c r="C45" t="s">
        <v>10</v>
      </c>
      <c r="D45">
        <v>1166.4000000000001</v>
      </c>
      <c r="E45">
        <v>0</v>
      </c>
      <c r="F45">
        <v>0</v>
      </c>
      <c r="G45">
        <v>0</v>
      </c>
      <c r="H45">
        <v>0</v>
      </c>
      <c r="I45">
        <v>-15746.4</v>
      </c>
    </row>
    <row r="46" spans="1:9" x14ac:dyDescent="0.25">
      <c r="A46" t="s">
        <v>139</v>
      </c>
      <c r="B46" t="s">
        <v>19</v>
      </c>
      <c r="C46" t="s">
        <v>18</v>
      </c>
      <c r="D46">
        <v>291.60000000000002</v>
      </c>
      <c r="E46">
        <v>0</v>
      </c>
      <c r="F46">
        <v>0</v>
      </c>
      <c r="G46">
        <v>0</v>
      </c>
      <c r="H46">
        <v>0</v>
      </c>
      <c r="I46">
        <v>-3936.6</v>
      </c>
    </row>
    <row r="47" spans="1:9" x14ac:dyDescent="0.25">
      <c r="A47" t="s">
        <v>139</v>
      </c>
      <c r="B47" t="s">
        <v>19</v>
      </c>
      <c r="C47" t="s">
        <v>10</v>
      </c>
      <c r="D47">
        <v>291.60000000000002</v>
      </c>
      <c r="E47">
        <v>0</v>
      </c>
      <c r="F47">
        <v>0</v>
      </c>
      <c r="G47">
        <v>0</v>
      </c>
      <c r="H47">
        <v>0</v>
      </c>
      <c r="I47">
        <v>-3936.6</v>
      </c>
    </row>
    <row r="48" spans="1:9" x14ac:dyDescent="0.25">
      <c r="A48" t="s">
        <v>139</v>
      </c>
      <c r="B48" t="s">
        <v>92</v>
      </c>
      <c r="C48" t="s">
        <v>18</v>
      </c>
      <c r="D48">
        <v>0</v>
      </c>
      <c r="E48">
        <v>-121.22</v>
      </c>
      <c r="F48">
        <v>0</v>
      </c>
      <c r="G48">
        <v>0</v>
      </c>
      <c r="H48">
        <v>0</v>
      </c>
      <c r="I48">
        <v>-797.76599999999996</v>
      </c>
    </row>
    <row r="49" spans="1:9" x14ac:dyDescent="0.25">
      <c r="A49" t="s">
        <v>139</v>
      </c>
      <c r="B49" t="s">
        <v>92</v>
      </c>
      <c r="C49" t="s">
        <v>10</v>
      </c>
      <c r="D49">
        <v>0</v>
      </c>
      <c r="E49">
        <v>-121.22</v>
      </c>
      <c r="F49">
        <v>0</v>
      </c>
      <c r="G49">
        <v>0</v>
      </c>
      <c r="H49">
        <v>0</v>
      </c>
      <c r="I49">
        <v>-1296.4269999999999</v>
      </c>
    </row>
    <row r="50" spans="1:9" x14ac:dyDescent="0.25">
      <c r="A50" t="s">
        <v>139</v>
      </c>
      <c r="B50" t="s">
        <v>11</v>
      </c>
      <c r="C50" t="s">
        <v>18</v>
      </c>
      <c r="D50">
        <v>0</v>
      </c>
      <c r="E50">
        <v>103.68</v>
      </c>
      <c r="F50">
        <v>0</v>
      </c>
      <c r="G50">
        <v>0</v>
      </c>
      <c r="H50">
        <v>0</v>
      </c>
      <c r="I50">
        <v>756.31600000000003</v>
      </c>
    </row>
    <row r="51" spans="1:9" x14ac:dyDescent="0.25">
      <c r="A51" t="s">
        <v>139</v>
      </c>
      <c r="B51" t="s">
        <v>11</v>
      </c>
      <c r="C51" t="s">
        <v>10</v>
      </c>
      <c r="D51">
        <v>0</v>
      </c>
      <c r="E51">
        <v>103.68</v>
      </c>
      <c r="F51">
        <v>0</v>
      </c>
      <c r="G51">
        <v>0</v>
      </c>
      <c r="H51">
        <v>0</v>
      </c>
      <c r="I51">
        <v>1161.509</v>
      </c>
    </row>
    <row r="52" spans="1:9" x14ac:dyDescent="0.25">
      <c r="A52" t="s">
        <v>139</v>
      </c>
      <c r="B52" t="s">
        <v>12</v>
      </c>
      <c r="C52" t="s">
        <v>18</v>
      </c>
      <c r="D52">
        <v>137.52000000000001</v>
      </c>
      <c r="E52">
        <v>0</v>
      </c>
      <c r="F52">
        <v>0</v>
      </c>
      <c r="G52">
        <v>0</v>
      </c>
      <c r="H52">
        <v>0</v>
      </c>
      <c r="I52">
        <v>-1856.501</v>
      </c>
    </row>
    <row r="53" spans="1:9" x14ac:dyDescent="0.25">
      <c r="A53" t="s">
        <v>139</v>
      </c>
      <c r="B53" t="s">
        <v>12</v>
      </c>
      <c r="C53" t="s">
        <v>10</v>
      </c>
      <c r="D53">
        <v>137.52000000000001</v>
      </c>
      <c r="E53">
        <v>0</v>
      </c>
      <c r="F53">
        <v>0</v>
      </c>
      <c r="G53">
        <v>0</v>
      </c>
      <c r="H53">
        <v>0</v>
      </c>
      <c r="I53">
        <v>-1856.501</v>
      </c>
    </row>
    <row r="54" spans="1:9" x14ac:dyDescent="0.25">
      <c r="A54" t="s">
        <v>139</v>
      </c>
      <c r="B54" t="s">
        <v>13</v>
      </c>
      <c r="C54" t="s">
        <v>18</v>
      </c>
      <c r="D54">
        <v>0</v>
      </c>
      <c r="E54">
        <v>125.68</v>
      </c>
      <c r="F54">
        <v>0</v>
      </c>
      <c r="G54">
        <v>0</v>
      </c>
      <c r="H54">
        <v>0</v>
      </c>
      <c r="I54">
        <v>916.80600000000004</v>
      </c>
    </row>
    <row r="55" spans="1:9" x14ac:dyDescent="0.25">
      <c r="A55" t="s">
        <v>139</v>
      </c>
      <c r="B55" t="s">
        <v>13</v>
      </c>
      <c r="C55" t="s">
        <v>10</v>
      </c>
      <c r="D55">
        <v>0</v>
      </c>
      <c r="E55">
        <v>125.68</v>
      </c>
      <c r="F55">
        <v>0</v>
      </c>
      <c r="G55">
        <v>0</v>
      </c>
      <c r="H55">
        <v>0</v>
      </c>
      <c r="I55">
        <v>1407.981</v>
      </c>
    </row>
    <row r="56" spans="1:9" x14ac:dyDescent="0.25">
      <c r="A56" t="s">
        <v>139</v>
      </c>
      <c r="B56" t="s">
        <v>21</v>
      </c>
      <c r="C56" t="s">
        <v>18</v>
      </c>
      <c r="D56">
        <v>0</v>
      </c>
      <c r="E56">
        <v>-125.68</v>
      </c>
      <c r="F56">
        <v>0</v>
      </c>
      <c r="G56">
        <v>0</v>
      </c>
      <c r="H56">
        <v>0</v>
      </c>
      <c r="I56">
        <v>-916.80600000000004</v>
      </c>
    </row>
    <row r="57" spans="1:9" x14ac:dyDescent="0.25">
      <c r="A57" t="s">
        <v>139</v>
      </c>
      <c r="B57" t="s">
        <v>21</v>
      </c>
      <c r="C57" t="s">
        <v>10</v>
      </c>
      <c r="D57">
        <v>0</v>
      </c>
      <c r="E57">
        <v>-125.68</v>
      </c>
      <c r="F57">
        <v>0</v>
      </c>
      <c r="G57">
        <v>0</v>
      </c>
      <c r="H57">
        <v>0</v>
      </c>
      <c r="I57">
        <v>-1407.981</v>
      </c>
    </row>
    <row r="58" spans="1:9" x14ac:dyDescent="0.25">
      <c r="A58" t="s">
        <v>140</v>
      </c>
      <c r="B58" t="s">
        <v>9</v>
      </c>
      <c r="C58" t="s">
        <v>18</v>
      </c>
      <c r="D58">
        <v>1458</v>
      </c>
      <c r="E58">
        <v>0</v>
      </c>
      <c r="F58">
        <v>0</v>
      </c>
      <c r="G58">
        <v>0</v>
      </c>
      <c r="H58">
        <v>0</v>
      </c>
      <c r="I58">
        <v>-19683</v>
      </c>
    </row>
    <row r="59" spans="1:9" x14ac:dyDescent="0.25">
      <c r="A59" t="s">
        <v>140</v>
      </c>
      <c r="B59" t="s">
        <v>9</v>
      </c>
      <c r="C59" t="s">
        <v>10</v>
      </c>
      <c r="D59">
        <v>1458</v>
      </c>
      <c r="E59">
        <v>0</v>
      </c>
      <c r="F59">
        <v>0</v>
      </c>
      <c r="G59">
        <v>0</v>
      </c>
      <c r="H59">
        <v>0</v>
      </c>
      <c r="I59">
        <v>-19683</v>
      </c>
    </row>
    <row r="60" spans="1:9" x14ac:dyDescent="0.25">
      <c r="A60" t="s">
        <v>140</v>
      </c>
      <c r="B60" t="s">
        <v>19</v>
      </c>
      <c r="C60" t="s">
        <v>18</v>
      </c>
      <c r="D60">
        <v>364.5</v>
      </c>
      <c r="E60">
        <v>0</v>
      </c>
      <c r="F60">
        <v>0</v>
      </c>
      <c r="G60">
        <v>0</v>
      </c>
      <c r="H60">
        <v>0</v>
      </c>
      <c r="I60">
        <v>-4920.75</v>
      </c>
    </row>
    <row r="61" spans="1:9" x14ac:dyDescent="0.25">
      <c r="A61" t="s">
        <v>140</v>
      </c>
      <c r="B61" t="s">
        <v>19</v>
      </c>
      <c r="C61" t="s">
        <v>10</v>
      </c>
      <c r="D61">
        <v>364.5</v>
      </c>
      <c r="E61">
        <v>0</v>
      </c>
      <c r="F61">
        <v>0</v>
      </c>
      <c r="G61">
        <v>0</v>
      </c>
      <c r="H61">
        <v>0</v>
      </c>
      <c r="I61">
        <v>-4920.75</v>
      </c>
    </row>
    <row r="62" spans="1:9" x14ac:dyDescent="0.25">
      <c r="A62" t="s">
        <v>140</v>
      </c>
      <c r="B62" t="s">
        <v>92</v>
      </c>
      <c r="C62" t="s">
        <v>18</v>
      </c>
      <c r="D62">
        <v>0</v>
      </c>
      <c r="E62">
        <v>-144.38999999999999</v>
      </c>
      <c r="F62">
        <v>0</v>
      </c>
      <c r="G62">
        <v>0</v>
      </c>
      <c r="H62">
        <v>0</v>
      </c>
      <c r="I62">
        <v>-1296.4269999999999</v>
      </c>
    </row>
    <row r="63" spans="1:9" x14ac:dyDescent="0.25">
      <c r="A63" t="s">
        <v>140</v>
      </c>
      <c r="B63" t="s">
        <v>92</v>
      </c>
      <c r="C63" t="s">
        <v>10</v>
      </c>
      <c r="D63">
        <v>0</v>
      </c>
      <c r="E63">
        <v>-144.38999999999999</v>
      </c>
      <c r="F63">
        <v>0</v>
      </c>
      <c r="G63">
        <v>0</v>
      </c>
      <c r="H63">
        <v>0</v>
      </c>
      <c r="I63">
        <v>-1894.3820000000001</v>
      </c>
    </row>
    <row r="64" spans="1:9" x14ac:dyDescent="0.25">
      <c r="A64" t="s">
        <v>140</v>
      </c>
      <c r="B64" t="s">
        <v>11</v>
      </c>
      <c r="C64" t="s">
        <v>18</v>
      </c>
      <c r="D64">
        <v>0</v>
      </c>
      <c r="E64">
        <v>118.75</v>
      </c>
      <c r="F64">
        <v>0</v>
      </c>
      <c r="G64">
        <v>0</v>
      </c>
      <c r="H64">
        <v>0</v>
      </c>
      <c r="I64">
        <v>1161.509</v>
      </c>
    </row>
    <row r="65" spans="1:9" x14ac:dyDescent="0.25">
      <c r="A65" t="s">
        <v>140</v>
      </c>
      <c r="B65" t="s">
        <v>11</v>
      </c>
      <c r="C65" t="s">
        <v>10</v>
      </c>
      <c r="D65">
        <v>0</v>
      </c>
      <c r="E65">
        <v>118.75</v>
      </c>
      <c r="F65">
        <v>0</v>
      </c>
      <c r="G65">
        <v>0</v>
      </c>
      <c r="H65">
        <v>0</v>
      </c>
      <c r="I65">
        <v>1622.644</v>
      </c>
    </row>
    <row r="66" spans="1:9" x14ac:dyDescent="0.25">
      <c r="A66" t="s">
        <v>140</v>
      </c>
      <c r="B66" t="s">
        <v>12</v>
      </c>
      <c r="C66" t="s">
        <v>18</v>
      </c>
      <c r="D66">
        <v>171.9</v>
      </c>
      <c r="E66">
        <v>0</v>
      </c>
      <c r="F66">
        <v>0</v>
      </c>
      <c r="G66">
        <v>0</v>
      </c>
      <c r="H66">
        <v>0</v>
      </c>
      <c r="I66">
        <v>-2320.6260000000002</v>
      </c>
    </row>
    <row r="67" spans="1:9" x14ac:dyDescent="0.25">
      <c r="A67" t="s">
        <v>140</v>
      </c>
      <c r="B67" t="s">
        <v>12</v>
      </c>
      <c r="C67" t="s">
        <v>10</v>
      </c>
      <c r="D67">
        <v>171.9</v>
      </c>
      <c r="E67">
        <v>0</v>
      </c>
      <c r="F67">
        <v>0</v>
      </c>
      <c r="G67">
        <v>0</v>
      </c>
      <c r="H67">
        <v>0</v>
      </c>
      <c r="I67">
        <v>-2320.6260000000002</v>
      </c>
    </row>
    <row r="68" spans="1:9" x14ac:dyDescent="0.25">
      <c r="A68" t="s">
        <v>140</v>
      </c>
      <c r="B68" t="s">
        <v>13</v>
      </c>
      <c r="C68" t="s">
        <v>18</v>
      </c>
      <c r="D68">
        <v>0</v>
      </c>
      <c r="E68">
        <v>143.94999999999999</v>
      </c>
      <c r="F68">
        <v>0</v>
      </c>
      <c r="G68">
        <v>0</v>
      </c>
      <c r="H68">
        <v>0</v>
      </c>
      <c r="I68">
        <v>1407.981</v>
      </c>
    </row>
    <row r="69" spans="1:9" x14ac:dyDescent="0.25">
      <c r="A69" t="s">
        <v>140</v>
      </c>
      <c r="B69" t="s">
        <v>13</v>
      </c>
      <c r="C69" t="s">
        <v>10</v>
      </c>
      <c r="D69">
        <v>0</v>
      </c>
      <c r="E69">
        <v>143.94999999999999</v>
      </c>
      <c r="F69">
        <v>0</v>
      </c>
      <c r="G69">
        <v>0</v>
      </c>
      <c r="H69">
        <v>0</v>
      </c>
      <c r="I69">
        <v>1966.9690000000001</v>
      </c>
    </row>
    <row r="70" spans="1:9" x14ac:dyDescent="0.25">
      <c r="A70" t="s">
        <v>140</v>
      </c>
      <c r="B70" t="s">
        <v>21</v>
      </c>
      <c r="C70" t="s">
        <v>18</v>
      </c>
      <c r="D70">
        <v>0</v>
      </c>
      <c r="E70">
        <v>-143.94999999999999</v>
      </c>
      <c r="F70">
        <v>0</v>
      </c>
      <c r="G70">
        <v>0</v>
      </c>
      <c r="H70">
        <v>0</v>
      </c>
      <c r="I70">
        <v>-1407.981</v>
      </c>
    </row>
    <row r="71" spans="1:9" x14ac:dyDescent="0.25">
      <c r="A71" t="s">
        <v>140</v>
      </c>
      <c r="B71" t="s">
        <v>21</v>
      </c>
      <c r="C71" t="s">
        <v>10</v>
      </c>
      <c r="D71">
        <v>0</v>
      </c>
      <c r="E71">
        <v>-143.94999999999999</v>
      </c>
      <c r="F71">
        <v>0</v>
      </c>
      <c r="G71">
        <v>0</v>
      </c>
      <c r="H71">
        <v>0</v>
      </c>
      <c r="I71">
        <v>-1966.9690000000001</v>
      </c>
    </row>
    <row r="72" spans="1:9" x14ac:dyDescent="0.25">
      <c r="A72" t="s">
        <v>141</v>
      </c>
      <c r="B72" t="s">
        <v>9</v>
      </c>
      <c r="C72" t="s">
        <v>18</v>
      </c>
      <c r="D72">
        <v>1749.6</v>
      </c>
      <c r="E72">
        <v>0</v>
      </c>
      <c r="F72">
        <v>0</v>
      </c>
      <c r="G72">
        <v>0</v>
      </c>
      <c r="H72">
        <v>0</v>
      </c>
      <c r="I72">
        <v>-23619.599999999999</v>
      </c>
    </row>
    <row r="73" spans="1:9" x14ac:dyDescent="0.25">
      <c r="A73" t="s">
        <v>141</v>
      </c>
      <c r="B73" t="s">
        <v>9</v>
      </c>
      <c r="C73" t="s">
        <v>10</v>
      </c>
      <c r="D73">
        <v>1749.6</v>
      </c>
      <c r="E73">
        <v>0</v>
      </c>
      <c r="F73">
        <v>0</v>
      </c>
      <c r="G73">
        <v>0</v>
      </c>
      <c r="H73">
        <v>0</v>
      </c>
      <c r="I73">
        <v>-23619.599999999999</v>
      </c>
    </row>
    <row r="74" spans="1:9" x14ac:dyDescent="0.25">
      <c r="A74" t="s">
        <v>141</v>
      </c>
      <c r="B74" t="s">
        <v>19</v>
      </c>
      <c r="C74" t="s">
        <v>18</v>
      </c>
      <c r="D74">
        <v>437.4</v>
      </c>
      <c r="E74">
        <v>0</v>
      </c>
      <c r="F74">
        <v>0</v>
      </c>
      <c r="G74">
        <v>0</v>
      </c>
      <c r="H74">
        <v>0</v>
      </c>
      <c r="I74">
        <v>-5904.9</v>
      </c>
    </row>
    <row r="75" spans="1:9" x14ac:dyDescent="0.25">
      <c r="A75" t="s">
        <v>141</v>
      </c>
      <c r="B75" t="s">
        <v>19</v>
      </c>
      <c r="C75" t="s">
        <v>10</v>
      </c>
      <c r="D75">
        <v>437.4</v>
      </c>
      <c r="E75">
        <v>0</v>
      </c>
      <c r="F75">
        <v>0</v>
      </c>
      <c r="G75">
        <v>0</v>
      </c>
      <c r="H75">
        <v>0</v>
      </c>
      <c r="I75">
        <v>-5904.9</v>
      </c>
    </row>
    <row r="76" spans="1:9" x14ac:dyDescent="0.25">
      <c r="A76" t="s">
        <v>141</v>
      </c>
      <c r="B76" t="s">
        <v>92</v>
      </c>
      <c r="C76" t="s">
        <v>18</v>
      </c>
      <c r="D76">
        <v>0</v>
      </c>
      <c r="E76">
        <v>-164.71</v>
      </c>
      <c r="F76">
        <v>0</v>
      </c>
      <c r="G76">
        <v>0</v>
      </c>
      <c r="H76">
        <v>0</v>
      </c>
      <c r="I76">
        <v>-1894.3820000000001</v>
      </c>
    </row>
    <row r="77" spans="1:9" x14ac:dyDescent="0.25">
      <c r="A77" t="s">
        <v>141</v>
      </c>
      <c r="B77" t="s">
        <v>92</v>
      </c>
      <c r="C77" t="s">
        <v>10</v>
      </c>
      <c r="D77">
        <v>0</v>
      </c>
      <c r="E77">
        <v>-164.71</v>
      </c>
      <c r="F77">
        <v>0</v>
      </c>
      <c r="G77">
        <v>0</v>
      </c>
      <c r="H77">
        <v>0</v>
      </c>
      <c r="I77">
        <v>-2580.721</v>
      </c>
    </row>
    <row r="78" spans="1:9" x14ac:dyDescent="0.25">
      <c r="A78" t="s">
        <v>141</v>
      </c>
      <c r="B78" t="s">
        <v>11</v>
      </c>
      <c r="C78" t="s">
        <v>18</v>
      </c>
      <c r="D78">
        <v>0</v>
      </c>
      <c r="E78">
        <v>132.13</v>
      </c>
      <c r="F78">
        <v>0</v>
      </c>
      <c r="G78">
        <v>0</v>
      </c>
      <c r="H78">
        <v>0</v>
      </c>
      <c r="I78">
        <v>1622.644</v>
      </c>
    </row>
    <row r="79" spans="1:9" x14ac:dyDescent="0.25">
      <c r="A79" t="s">
        <v>141</v>
      </c>
      <c r="B79" t="s">
        <v>11</v>
      </c>
      <c r="C79" t="s">
        <v>10</v>
      </c>
      <c r="D79">
        <v>0</v>
      </c>
      <c r="E79">
        <v>132.13</v>
      </c>
      <c r="F79">
        <v>0</v>
      </c>
      <c r="G79">
        <v>0</v>
      </c>
      <c r="H79">
        <v>0</v>
      </c>
      <c r="I79">
        <v>2133.9290000000001</v>
      </c>
    </row>
    <row r="80" spans="1:9" x14ac:dyDescent="0.25">
      <c r="A80" t="s">
        <v>141</v>
      </c>
      <c r="B80" t="s">
        <v>12</v>
      </c>
      <c r="C80" t="s">
        <v>18</v>
      </c>
      <c r="D80">
        <v>206.28</v>
      </c>
      <c r="E80">
        <v>0</v>
      </c>
      <c r="F80">
        <v>0</v>
      </c>
      <c r="G80">
        <v>0</v>
      </c>
      <c r="H80">
        <v>0</v>
      </c>
      <c r="I80">
        <v>-2784.7510000000002</v>
      </c>
    </row>
    <row r="81" spans="1:9" x14ac:dyDescent="0.25">
      <c r="A81" t="s">
        <v>141</v>
      </c>
      <c r="B81" t="s">
        <v>12</v>
      </c>
      <c r="C81" t="s">
        <v>10</v>
      </c>
      <c r="D81">
        <v>206.28</v>
      </c>
      <c r="E81">
        <v>0</v>
      </c>
      <c r="F81">
        <v>0</v>
      </c>
      <c r="G81">
        <v>0</v>
      </c>
      <c r="H81">
        <v>0</v>
      </c>
      <c r="I81">
        <v>-2784.7510000000002</v>
      </c>
    </row>
    <row r="82" spans="1:9" x14ac:dyDescent="0.25">
      <c r="A82" t="s">
        <v>141</v>
      </c>
      <c r="B82" t="s">
        <v>13</v>
      </c>
      <c r="C82" t="s">
        <v>18</v>
      </c>
      <c r="D82">
        <v>0</v>
      </c>
      <c r="E82">
        <v>160.16999999999999</v>
      </c>
      <c r="F82">
        <v>0</v>
      </c>
      <c r="G82">
        <v>0</v>
      </c>
      <c r="H82">
        <v>0</v>
      </c>
      <c r="I82">
        <v>1966.9690000000001</v>
      </c>
    </row>
    <row r="83" spans="1:9" x14ac:dyDescent="0.25">
      <c r="A83" t="s">
        <v>141</v>
      </c>
      <c r="B83" t="s">
        <v>13</v>
      </c>
      <c r="C83" t="s">
        <v>10</v>
      </c>
      <c r="D83">
        <v>0</v>
      </c>
      <c r="E83">
        <v>160.16999999999999</v>
      </c>
      <c r="F83">
        <v>0</v>
      </c>
      <c r="G83">
        <v>0</v>
      </c>
      <c r="H83">
        <v>0</v>
      </c>
      <c r="I83">
        <v>2586.7489999999998</v>
      </c>
    </row>
    <row r="84" spans="1:9" x14ac:dyDescent="0.25">
      <c r="A84" t="s">
        <v>141</v>
      </c>
      <c r="B84" t="s">
        <v>21</v>
      </c>
      <c r="C84" t="s">
        <v>18</v>
      </c>
      <c r="D84">
        <v>0</v>
      </c>
      <c r="E84">
        <v>-160.16999999999999</v>
      </c>
      <c r="F84">
        <v>0</v>
      </c>
      <c r="G84">
        <v>0</v>
      </c>
      <c r="H84">
        <v>0</v>
      </c>
      <c r="I84">
        <v>-1966.9690000000001</v>
      </c>
    </row>
    <row r="85" spans="1:9" x14ac:dyDescent="0.25">
      <c r="A85" t="s">
        <v>141</v>
      </c>
      <c r="B85" t="s">
        <v>21</v>
      </c>
      <c r="C85" t="s">
        <v>10</v>
      </c>
      <c r="D85">
        <v>0</v>
      </c>
      <c r="E85">
        <v>-160.16999999999999</v>
      </c>
      <c r="F85">
        <v>0</v>
      </c>
      <c r="G85">
        <v>0</v>
      </c>
      <c r="H85">
        <v>0</v>
      </c>
      <c r="I85">
        <v>-2586.7489999999998</v>
      </c>
    </row>
    <row r="86" spans="1:9" x14ac:dyDescent="0.25">
      <c r="A86" t="s">
        <v>142</v>
      </c>
      <c r="B86" t="s">
        <v>9</v>
      </c>
      <c r="C86" t="s">
        <v>18</v>
      </c>
      <c r="D86">
        <v>2041.2</v>
      </c>
      <c r="E86">
        <v>0</v>
      </c>
      <c r="F86">
        <v>0</v>
      </c>
      <c r="G86">
        <v>0</v>
      </c>
      <c r="H86">
        <v>0</v>
      </c>
      <c r="I86">
        <v>-27556.2</v>
      </c>
    </row>
    <row r="87" spans="1:9" x14ac:dyDescent="0.25">
      <c r="A87" t="s">
        <v>142</v>
      </c>
      <c r="B87" t="s">
        <v>9</v>
      </c>
      <c r="C87" t="s">
        <v>10</v>
      </c>
      <c r="D87">
        <v>2041.2</v>
      </c>
      <c r="E87">
        <v>0</v>
      </c>
      <c r="F87">
        <v>0</v>
      </c>
      <c r="G87">
        <v>0</v>
      </c>
      <c r="H87">
        <v>0</v>
      </c>
      <c r="I87">
        <v>-27556.2</v>
      </c>
    </row>
    <row r="88" spans="1:9" x14ac:dyDescent="0.25">
      <c r="A88" t="s">
        <v>142</v>
      </c>
      <c r="B88" t="s">
        <v>19</v>
      </c>
      <c r="C88" t="s">
        <v>18</v>
      </c>
      <c r="D88">
        <v>510.3</v>
      </c>
      <c r="E88">
        <v>0</v>
      </c>
      <c r="F88">
        <v>0</v>
      </c>
      <c r="G88">
        <v>0</v>
      </c>
      <c r="H88">
        <v>0</v>
      </c>
      <c r="I88">
        <v>-6889.05</v>
      </c>
    </row>
    <row r="89" spans="1:9" x14ac:dyDescent="0.25">
      <c r="A89" t="s">
        <v>142</v>
      </c>
      <c r="B89" t="s">
        <v>19</v>
      </c>
      <c r="C89" t="s">
        <v>10</v>
      </c>
      <c r="D89">
        <v>510.3</v>
      </c>
      <c r="E89">
        <v>0</v>
      </c>
      <c r="F89">
        <v>0</v>
      </c>
      <c r="G89">
        <v>0</v>
      </c>
      <c r="H89">
        <v>0</v>
      </c>
      <c r="I89">
        <v>-6889.05</v>
      </c>
    </row>
    <row r="90" spans="1:9" x14ac:dyDescent="0.25">
      <c r="A90" t="s">
        <v>142</v>
      </c>
      <c r="B90" t="s">
        <v>92</v>
      </c>
      <c r="C90" t="s">
        <v>18</v>
      </c>
      <c r="D90">
        <v>0</v>
      </c>
      <c r="E90">
        <v>-182.18</v>
      </c>
      <c r="F90">
        <v>0</v>
      </c>
      <c r="G90">
        <v>0</v>
      </c>
      <c r="H90">
        <v>0</v>
      </c>
      <c r="I90">
        <v>-2580.721</v>
      </c>
    </row>
    <row r="91" spans="1:9" x14ac:dyDescent="0.25">
      <c r="A91" t="s">
        <v>142</v>
      </c>
      <c r="B91" t="s">
        <v>92</v>
      </c>
      <c r="C91" t="s">
        <v>10</v>
      </c>
      <c r="D91">
        <v>0</v>
      </c>
      <c r="E91">
        <v>-182.18</v>
      </c>
      <c r="F91">
        <v>0</v>
      </c>
      <c r="G91">
        <v>0</v>
      </c>
      <c r="H91">
        <v>0</v>
      </c>
      <c r="I91">
        <v>-3340.6590000000001</v>
      </c>
    </row>
    <row r="92" spans="1:9" x14ac:dyDescent="0.25">
      <c r="A92" t="s">
        <v>142</v>
      </c>
      <c r="B92" t="s">
        <v>11</v>
      </c>
      <c r="C92" t="s">
        <v>18</v>
      </c>
      <c r="D92">
        <v>0</v>
      </c>
      <c r="E92">
        <v>144.04</v>
      </c>
      <c r="F92">
        <v>0</v>
      </c>
      <c r="G92">
        <v>0</v>
      </c>
      <c r="H92">
        <v>0</v>
      </c>
      <c r="I92">
        <v>2133.9290000000001</v>
      </c>
    </row>
    <row r="93" spans="1:9" x14ac:dyDescent="0.25">
      <c r="A93" t="s">
        <v>142</v>
      </c>
      <c r="B93" t="s">
        <v>11</v>
      </c>
      <c r="C93" t="s">
        <v>10</v>
      </c>
      <c r="D93">
        <v>0</v>
      </c>
      <c r="E93">
        <v>144.04</v>
      </c>
      <c r="F93">
        <v>0</v>
      </c>
      <c r="G93">
        <v>0</v>
      </c>
      <c r="H93">
        <v>0</v>
      </c>
      <c r="I93">
        <v>2688.4119999999998</v>
      </c>
    </row>
    <row r="94" spans="1:9" x14ac:dyDescent="0.25">
      <c r="A94" t="s">
        <v>142</v>
      </c>
      <c r="B94" t="s">
        <v>12</v>
      </c>
      <c r="C94" t="s">
        <v>18</v>
      </c>
      <c r="D94">
        <v>240.66</v>
      </c>
      <c r="E94">
        <v>0</v>
      </c>
      <c r="F94">
        <v>0</v>
      </c>
      <c r="G94">
        <v>0</v>
      </c>
      <c r="H94">
        <v>0</v>
      </c>
      <c r="I94">
        <v>-3248.8760000000002</v>
      </c>
    </row>
    <row r="95" spans="1:9" x14ac:dyDescent="0.25">
      <c r="A95" t="s">
        <v>142</v>
      </c>
      <c r="B95" t="s">
        <v>12</v>
      </c>
      <c r="C95" t="s">
        <v>10</v>
      </c>
      <c r="D95">
        <v>240.66</v>
      </c>
      <c r="E95">
        <v>0</v>
      </c>
      <c r="F95">
        <v>0</v>
      </c>
      <c r="G95">
        <v>0</v>
      </c>
      <c r="H95">
        <v>0</v>
      </c>
      <c r="I95">
        <v>-3248.8760000000002</v>
      </c>
    </row>
    <row r="96" spans="1:9" x14ac:dyDescent="0.25">
      <c r="A96" t="s">
        <v>142</v>
      </c>
      <c r="B96" t="s">
        <v>13</v>
      </c>
      <c r="C96" t="s">
        <v>18</v>
      </c>
      <c r="D96">
        <v>0</v>
      </c>
      <c r="E96">
        <v>174.61</v>
      </c>
      <c r="F96">
        <v>0</v>
      </c>
      <c r="G96">
        <v>0</v>
      </c>
      <c r="H96">
        <v>0</v>
      </c>
      <c r="I96">
        <v>2586.7489999999998</v>
      </c>
    </row>
    <row r="97" spans="1:9" x14ac:dyDescent="0.25">
      <c r="A97" t="s">
        <v>142</v>
      </c>
      <c r="B97" t="s">
        <v>13</v>
      </c>
      <c r="C97" t="s">
        <v>10</v>
      </c>
      <c r="D97">
        <v>0</v>
      </c>
      <c r="E97">
        <v>174.61</v>
      </c>
      <c r="F97">
        <v>0</v>
      </c>
      <c r="G97">
        <v>0</v>
      </c>
      <c r="H97">
        <v>0</v>
      </c>
      <c r="I97">
        <v>3258.893</v>
      </c>
    </row>
    <row r="98" spans="1:9" x14ac:dyDescent="0.25">
      <c r="A98" t="s">
        <v>142</v>
      </c>
      <c r="B98" t="s">
        <v>21</v>
      </c>
      <c r="C98" t="s">
        <v>18</v>
      </c>
      <c r="D98">
        <v>0</v>
      </c>
      <c r="E98">
        <v>-174.61</v>
      </c>
      <c r="F98">
        <v>0</v>
      </c>
      <c r="G98">
        <v>0</v>
      </c>
      <c r="H98">
        <v>0</v>
      </c>
      <c r="I98">
        <v>-2586.7489999999998</v>
      </c>
    </row>
    <row r="99" spans="1:9" x14ac:dyDescent="0.25">
      <c r="A99" t="s">
        <v>142</v>
      </c>
      <c r="B99" t="s">
        <v>21</v>
      </c>
      <c r="C99" t="s">
        <v>10</v>
      </c>
      <c r="D99">
        <v>0</v>
      </c>
      <c r="E99">
        <v>-174.61</v>
      </c>
      <c r="F99">
        <v>0</v>
      </c>
      <c r="G99">
        <v>0</v>
      </c>
      <c r="H99">
        <v>0</v>
      </c>
      <c r="I99">
        <v>-3258.893</v>
      </c>
    </row>
    <row r="100" spans="1:9" x14ac:dyDescent="0.25">
      <c r="A100" t="s">
        <v>143</v>
      </c>
      <c r="B100" t="s">
        <v>9</v>
      </c>
      <c r="C100" t="s">
        <v>18</v>
      </c>
      <c r="D100">
        <v>2332.8000000000002</v>
      </c>
      <c r="E100">
        <v>0</v>
      </c>
      <c r="F100">
        <v>0</v>
      </c>
      <c r="G100">
        <v>0</v>
      </c>
      <c r="H100">
        <v>0</v>
      </c>
      <c r="I100">
        <v>-31492.799999999999</v>
      </c>
    </row>
    <row r="101" spans="1:9" x14ac:dyDescent="0.25">
      <c r="A101" t="s">
        <v>143</v>
      </c>
      <c r="B101" t="s">
        <v>9</v>
      </c>
      <c r="C101" t="s">
        <v>10</v>
      </c>
      <c r="D101">
        <v>2332.8000000000002</v>
      </c>
      <c r="E101">
        <v>0</v>
      </c>
      <c r="F101">
        <v>0</v>
      </c>
      <c r="G101">
        <v>0</v>
      </c>
      <c r="H101">
        <v>0</v>
      </c>
      <c r="I101">
        <v>-31492.799999999999</v>
      </c>
    </row>
    <row r="102" spans="1:9" x14ac:dyDescent="0.25">
      <c r="A102" t="s">
        <v>143</v>
      </c>
      <c r="B102" t="s">
        <v>19</v>
      </c>
      <c r="C102" t="s">
        <v>18</v>
      </c>
      <c r="D102">
        <v>583.20000000000005</v>
      </c>
      <c r="E102">
        <v>0</v>
      </c>
      <c r="F102">
        <v>0</v>
      </c>
      <c r="G102">
        <v>0</v>
      </c>
      <c r="H102">
        <v>0</v>
      </c>
      <c r="I102">
        <v>-7873.2</v>
      </c>
    </row>
    <row r="103" spans="1:9" x14ac:dyDescent="0.25">
      <c r="A103" t="s">
        <v>143</v>
      </c>
      <c r="B103" t="s">
        <v>19</v>
      </c>
      <c r="C103" t="s">
        <v>10</v>
      </c>
      <c r="D103">
        <v>583.20000000000005</v>
      </c>
      <c r="E103">
        <v>0</v>
      </c>
      <c r="F103">
        <v>0</v>
      </c>
      <c r="G103">
        <v>0</v>
      </c>
      <c r="H103">
        <v>0</v>
      </c>
      <c r="I103">
        <v>-7873.2</v>
      </c>
    </row>
    <row r="104" spans="1:9" x14ac:dyDescent="0.25">
      <c r="A104" t="s">
        <v>143</v>
      </c>
      <c r="B104" t="s">
        <v>92</v>
      </c>
      <c r="C104" t="s">
        <v>18</v>
      </c>
      <c r="D104">
        <v>0</v>
      </c>
      <c r="E104">
        <v>-196.8</v>
      </c>
      <c r="F104">
        <v>0</v>
      </c>
      <c r="G104">
        <v>0</v>
      </c>
      <c r="H104">
        <v>0</v>
      </c>
      <c r="I104">
        <v>-3340.6590000000001</v>
      </c>
    </row>
    <row r="105" spans="1:9" x14ac:dyDescent="0.25">
      <c r="A105" t="s">
        <v>143</v>
      </c>
      <c r="B105" t="s">
        <v>92</v>
      </c>
      <c r="C105" t="s">
        <v>10</v>
      </c>
      <c r="D105">
        <v>0</v>
      </c>
      <c r="E105">
        <v>-196.8</v>
      </c>
      <c r="F105">
        <v>0</v>
      </c>
      <c r="G105">
        <v>0</v>
      </c>
      <c r="H105">
        <v>0</v>
      </c>
      <c r="I105">
        <v>-4165.5469999999996</v>
      </c>
    </row>
    <row r="106" spans="1:9" x14ac:dyDescent="0.25">
      <c r="A106" t="s">
        <v>143</v>
      </c>
      <c r="B106" t="s">
        <v>11</v>
      </c>
      <c r="C106" t="s">
        <v>18</v>
      </c>
      <c r="D106">
        <v>0</v>
      </c>
      <c r="E106">
        <v>155.02000000000001</v>
      </c>
      <c r="F106">
        <v>0</v>
      </c>
      <c r="G106">
        <v>0</v>
      </c>
      <c r="H106">
        <v>0</v>
      </c>
      <c r="I106">
        <v>2688.4119999999998</v>
      </c>
    </row>
    <row r="107" spans="1:9" x14ac:dyDescent="0.25">
      <c r="A107" t="s">
        <v>143</v>
      </c>
      <c r="B107" t="s">
        <v>11</v>
      </c>
      <c r="C107" t="s">
        <v>10</v>
      </c>
      <c r="D107">
        <v>0</v>
      </c>
      <c r="E107">
        <v>155.02000000000001</v>
      </c>
      <c r="F107">
        <v>0</v>
      </c>
      <c r="G107">
        <v>0</v>
      </c>
      <c r="H107">
        <v>0</v>
      </c>
      <c r="I107">
        <v>3285.4879999999998</v>
      </c>
    </row>
    <row r="108" spans="1:9" x14ac:dyDescent="0.25">
      <c r="A108" t="s">
        <v>143</v>
      </c>
      <c r="B108" t="s">
        <v>12</v>
      </c>
      <c r="C108" t="s">
        <v>18</v>
      </c>
      <c r="D108">
        <v>275.04000000000002</v>
      </c>
      <c r="E108">
        <v>0</v>
      </c>
      <c r="F108">
        <v>0</v>
      </c>
      <c r="G108">
        <v>0</v>
      </c>
      <c r="H108">
        <v>0</v>
      </c>
      <c r="I108">
        <v>-3713.0010000000002</v>
      </c>
    </row>
    <row r="109" spans="1:9" x14ac:dyDescent="0.25">
      <c r="A109" t="s">
        <v>143</v>
      </c>
      <c r="B109" t="s">
        <v>12</v>
      </c>
      <c r="C109" t="s">
        <v>10</v>
      </c>
      <c r="D109">
        <v>275.04000000000002</v>
      </c>
      <c r="E109">
        <v>0</v>
      </c>
      <c r="F109">
        <v>0</v>
      </c>
      <c r="G109">
        <v>0</v>
      </c>
      <c r="H109">
        <v>0</v>
      </c>
      <c r="I109">
        <v>-3713.0010000000002</v>
      </c>
    </row>
    <row r="110" spans="1:9" x14ac:dyDescent="0.25">
      <c r="A110" t="s">
        <v>143</v>
      </c>
      <c r="B110" t="s">
        <v>13</v>
      </c>
      <c r="C110" t="s">
        <v>18</v>
      </c>
      <c r="D110">
        <v>0</v>
      </c>
      <c r="E110">
        <v>187.91</v>
      </c>
      <c r="F110">
        <v>0</v>
      </c>
      <c r="G110">
        <v>0</v>
      </c>
      <c r="H110">
        <v>0</v>
      </c>
      <c r="I110">
        <v>3258.893</v>
      </c>
    </row>
    <row r="111" spans="1:9" x14ac:dyDescent="0.25">
      <c r="A111" t="s">
        <v>143</v>
      </c>
      <c r="B111" t="s">
        <v>13</v>
      </c>
      <c r="C111" t="s">
        <v>10</v>
      </c>
      <c r="D111">
        <v>0</v>
      </c>
      <c r="E111">
        <v>187.91</v>
      </c>
      <c r="F111">
        <v>0</v>
      </c>
      <c r="G111">
        <v>0</v>
      </c>
      <c r="H111">
        <v>0</v>
      </c>
      <c r="I111">
        <v>3982.6680000000001</v>
      </c>
    </row>
    <row r="112" spans="1:9" x14ac:dyDescent="0.25">
      <c r="A112" t="s">
        <v>143</v>
      </c>
      <c r="B112" t="s">
        <v>21</v>
      </c>
      <c r="C112" t="s">
        <v>18</v>
      </c>
      <c r="D112">
        <v>0</v>
      </c>
      <c r="E112">
        <v>-187.91</v>
      </c>
      <c r="F112">
        <v>0</v>
      </c>
      <c r="G112">
        <v>0</v>
      </c>
      <c r="H112">
        <v>0</v>
      </c>
      <c r="I112">
        <v>-3258.893</v>
      </c>
    </row>
    <row r="113" spans="1:9" x14ac:dyDescent="0.25">
      <c r="A113" t="s">
        <v>143</v>
      </c>
      <c r="B113" t="s">
        <v>21</v>
      </c>
      <c r="C113" t="s">
        <v>10</v>
      </c>
      <c r="D113">
        <v>0</v>
      </c>
      <c r="E113">
        <v>-187.91</v>
      </c>
      <c r="F113">
        <v>0</v>
      </c>
      <c r="G113">
        <v>0</v>
      </c>
      <c r="H113">
        <v>0</v>
      </c>
      <c r="I113">
        <v>-3982.6680000000001</v>
      </c>
    </row>
    <row r="114" spans="1:9" x14ac:dyDescent="0.25">
      <c r="A114" t="s">
        <v>144</v>
      </c>
      <c r="B114" t="s">
        <v>9</v>
      </c>
      <c r="C114" t="s">
        <v>18</v>
      </c>
      <c r="D114">
        <v>2624.4</v>
      </c>
      <c r="E114">
        <v>0</v>
      </c>
      <c r="F114">
        <v>0</v>
      </c>
      <c r="G114">
        <v>0</v>
      </c>
      <c r="H114">
        <v>0</v>
      </c>
      <c r="I114">
        <v>-35429.4</v>
      </c>
    </row>
    <row r="115" spans="1:9" x14ac:dyDescent="0.25">
      <c r="A115" t="s">
        <v>144</v>
      </c>
      <c r="B115" t="s">
        <v>9</v>
      </c>
      <c r="C115" t="s">
        <v>10</v>
      </c>
      <c r="D115">
        <v>2624.4</v>
      </c>
      <c r="E115">
        <v>0</v>
      </c>
      <c r="F115">
        <v>0</v>
      </c>
      <c r="G115">
        <v>0</v>
      </c>
      <c r="H115">
        <v>0</v>
      </c>
      <c r="I115">
        <v>-35429.4</v>
      </c>
    </row>
    <row r="116" spans="1:9" x14ac:dyDescent="0.25">
      <c r="A116" t="s">
        <v>144</v>
      </c>
      <c r="B116" t="s">
        <v>19</v>
      </c>
      <c r="C116" t="s">
        <v>18</v>
      </c>
      <c r="D116">
        <v>656.1</v>
      </c>
      <c r="E116">
        <v>0</v>
      </c>
      <c r="F116">
        <v>0</v>
      </c>
      <c r="G116">
        <v>0</v>
      </c>
      <c r="H116">
        <v>0</v>
      </c>
      <c r="I116">
        <v>-8857.35</v>
      </c>
    </row>
    <row r="117" spans="1:9" x14ac:dyDescent="0.25">
      <c r="A117" t="s">
        <v>144</v>
      </c>
      <c r="B117" t="s">
        <v>19</v>
      </c>
      <c r="C117" t="s">
        <v>10</v>
      </c>
      <c r="D117">
        <v>656.1</v>
      </c>
      <c r="E117">
        <v>0</v>
      </c>
      <c r="F117">
        <v>0</v>
      </c>
      <c r="G117">
        <v>0</v>
      </c>
      <c r="H117">
        <v>0</v>
      </c>
      <c r="I117">
        <v>-8857.35</v>
      </c>
    </row>
    <row r="118" spans="1:9" x14ac:dyDescent="0.25">
      <c r="A118" t="s">
        <v>144</v>
      </c>
      <c r="B118" t="s">
        <v>92</v>
      </c>
      <c r="C118" t="s">
        <v>18</v>
      </c>
      <c r="D118">
        <v>0</v>
      </c>
      <c r="E118">
        <v>-208.57</v>
      </c>
      <c r="F118">
        <v>0</v>
      </c>
      <c r="G118">
        <v>0</v>
      </c>
      <c r="H118">
        <v>0</v>
      </c>
      <c r="I118">
        <v>-4165.5469999999996</v>
      </c>
    </row>
    <row r="119" spans="1:9" x14ac:dyDescent="0.25">
      <c r="A119" t="s">
        <v>144</v>
      </c>
      <c r="B119" t="s">
        <v>92</v>
      </c>
      <c r="C119" t="s">
        <v>10</v>
      </c>
      <c r="D119">
        <v>0</v>
      </c>
      <c r="E119">
        <v>-208.57</v>
      </c>
      <c r="F119">
        <v>0</v>
      </c>
      <c r="G119">
        <v>0</v>
      </c>
      <c r="H119">
        <v>0</v>
      </c>
      <c r="I119">
        <v>-5043.9009999999998</v>
      </c>
    </row>
    <row r="120" spans="1:9" x14ac:dyDescent="0.25">
      <c r="A120" t="s">
        <v>144</v>
      </c>
      <c r="B120" t="s">
        <v>11</v>
      </c>
      <c r="C120" t="s">
        <v>18</v>
      </c>
      <c r="D120">
        <v>0</v>
      </c>
      <c r="E120">
        <v>165.17</v>
      </c>
      <c r="F120">
        <v>0</v>
      </c>
      <c r="G120">
        <v>0</v>
      </c>
      <c r="H120">
        <v>0</v>
      </c>
      <c r="I120">
        <v>3285.4879999999998</v>
      </c>
    </row>
    <row r="121" spans="1:9" x14ac:dyDescent="0.25">
      <c r="A121" t="s">
        <v>144</v>
      </c>
      <c r="B121" t="s">
        <v>11</v>
      </c>
      <c r="C121" t="s">
        <v>10</v>
      </c>
      <c r="D121">
        <v>0</v>
      </c>
      <c r="E121">
        <v>165.17</v>
      </c>
      <c r="F121">
        <v>0</v>
      </c>
      <c r="G121">
        <v>0</v>
      </c>
      <c r="H121">
        <v>0</v>
      </c>
      <c r="I121">
        <v>3921.9929999999999</v>
      </c>
    </row>
    <row r="122" spans="1:9" x14ac:dyDescent="0.25">
      <c r="A122" t="s">
        <v>144</v>
      </c>
      <c r="B122" t="s">
        <v>12</v>
      </c>
      <c r="C122" t="s">
        <v>18</v>
      </c>
      <c r="D122">
        <v>309.42</v>
      </c>
      <c r="E122">
        <v>0</v>
      </c>
      <c r="F122">
        <v>0</v>
      </c>
      <c r="G122">
        <v>0</v>
      </c>
      <c r="H122">
        <v>0</v>
      </c>
      <c r="I122">
        <v>-4177.1260000000002</v>
      </c>
    </row>
    <row r="123" spans="1:9" x14ac:dyDescent="0.25">
      <c r="A123" t="s">
        <v>144</v>
      </c>
      <c r="B123" t="s">
        <v>12</v>
      </c>
      <c r="C123" t="s">
        <v>10</v>
      </c>
      <c r="D123">
        <v>309.42</v>
      </c>
      <c r="E123">
        <v>0</v>
      </c>
      <c r="F123">
        <v>0</v>
      </c>
      <c r="G123">
        <v>0</v>
      </c>
      <c r="H123">
        <v>0</v>
      </c>
      <c r="I123">
        <v>-4177.1260000000002</v>
      </c>
    </row>
    <row r="124" spans="1:9" x14ac:dyDescent="0.25">
      <c r="A124" t="s">
        <v>144</v>
      </c>
      <c r="B124" t="s">
        <v>13</v>
      </c>
      <c r="C124" t="s">
        <v>18</v>
      </c>
      <c r="D124">
        <v>0</v>
      </c>
      <c r="E124">
        <v>200.21</v>
      </c>
      <c r="F124">
        <v>0</v>
      </c>
      <c r="G124">
        <v>0</v>
      </c>
      <c r="H124">
        <v>0</v>
      </c>
      <c r="I124">
        <v>3982.6680000000001</v>
      </c>
    </row>
    <row r="125" spans="1:9" x14ac:dyDescent="0.25">
      <c r="A125" t="s">
        <v>144</v>
      </c>
      <c r="B125" t="s">
        <v>13</v>
      </c>
      <c r="C125" t="s">
        <v>10</v>
      </c>
      <c r="D125">
        <v>0</v>
      </c>
      <c r="E125">
        <v>200.21</v>
      </c>
      <c r="F125">
        <v>0</v>
      </c>
      <c r="G125">
        <v>0</v>
      </c>
      <c r="H125">
        <v>0</v>
      </c>
      <c r="I125">
        <v>4754.24</v>
      </c>
    </row>
    <row r="126" spans="1:9" x14ac:dyDescent="0.25">
      <c r="A126" t="s">
        <v>144</v>
      </c>
      <c r="B126" t="s">
        <v>21</v>
      </c>
      <c r="C126" t="s">
        <v>18</v>
      </c>
      <c r="D126">
        <v>0</v>
      </c>
      <c r="E126">
        <v>-200.21</v>
      </c>
      <c r="F126">
        <v>0</v>
      </c>
      <c r="G126">
        <v>0</v>
      </c>
      <c r="H126">
        <v>0</v>
      </c>
      <c r="I126">
        <v>-3982.6680000000001</v>
      </c>
    </row>
    <row r="127" spans="1:9" x14ac:dyDescent="0.25">
      <c r="A127" t="s">
        <v>144</v>
      </c>
      <c r="B127" t="s">
        <v>21</v>
      </c>
      <c r="C127" t="s">
        <v>10</v>
      </c>
      <c r="D127">
        <v>0</v>
      </c>
      <c r="E127">
        <v>-200.21</v>
      </c>
      <c r="F127">
        <v>0</v>
      </c>
      <c r="G127">
        <v>0</v>
      </c>
      <c r="H127">
        <v>0</v>
      </c>
      <c r="I127">
        <v>-4754.24</v>
      </c>
    </row>
    <row r="128" spans="1:9" x14ac:dyDescent="0.25">
      <c r="A128" t="s">
        <v>91</v>
      </c>
      <c r="B128" t="s">
        <v>9</v>
      </c>
      <c r="C128" t="s">
        <v>18</v>
      </c>
      <c r="D128">
        <v>2916</v>
      </c>
      <c r="E128">
        <v>0</v>
      </c>
      <c r="F128">
        <v>0</v>
      </c>
      <c r="G128">
        <v>0</v>
      </c>
      <c r="H128">
        <v>0</v>
      </c>
      <c r="I128">
        <v>-39366</v>
      </c>
    </row>
    <row r="129" spans="1:9" x14ac:dyDescent="0.25">
      <c r="A129" t="s">
        <v>91</v>
      </c>
      <c r="B129" t="s">
        <v>9</v>
      </c>
      <c r="C129" t="s">
        <v>10</v>
      </c>
      <c r="D129">
        <v>2916</v>
      </c>
      <c r="E129">
        <v>0</v>
      </c>
      <c r="F129">
        <v>0</v>
      </c>
      <c r="G129">
        <v>0</v>
      </c>
      <c r="H129">
        <v>0</v>
      </c>
      <c r="I129">
        <v>-39366</v>
      </c>
    </row>
    <row r="130" spans="1:9" x14ac:dyDescent="0.25">
      <c r="A130" t="s">
        <v>91</v>
      </c>
      <c r="B130" t="s">
        <v>19</v>
      </c>
      <c r="C130" t="s">
        <v>18</v>
      </c>
      <c r="D130">
        <v>729</v>
      </c>
      <c r="E130">
        <v>0</v>
      </c>
      <c r="F130">
        <v>0</v>
      </c>
      <c r="G130">
        <v>0</v>
      </c>
      <c r="H130">
        <v>0</v>
      </c>
      <c r="I130">
        <v>-9841.5</v>
      </c>
    </row>
    <row r="131" spans="1:9" x14ac:dyDescent="0.25">
      <c r="A131" t="s">
        <v>91</v>
      </c>
      <c r="B131" t="s">
        <v>19</v>
      </c>
      <c r="C131" t="s">
        <v>10</v>
      </c>
      <c r="D131">
        <v>729</v>
      </c>
      <c r="E131">
        <v>0</v>
      </c>
      <c r="F131">
        <v>0</v>
      </c>
      <c r="G131">
        <v>0</v>
      </c>
      <c r="H131">
        <v>0</v>
      </c>
      <c r="I131">
        <v>-9841.5</v>
      </c>
    </row>
    <row r="132" spans="1:9" x14ac:dyDescent="0.25">
      <c r="A132" t="s">
        <v>91</v>
      </c>
      <c r="B132" t="s">
        <v>92</v>
      </c>
      <c r="C132" t="s">
        <v>18</v>
      </c>
      <c r="D132">
        <v>0</v>
      </c>
      <c r="E132">
        <v>-217.48</v>
      </c>
      <c r="F132">
        <v>0</v>
      </c>
      <c r="G132">
        <v>0</v>
      </c>
      <c r="H132">
        <v>0</v>
      </c>
      <c r="I132">
        <v>-5043.9009999999998</v>
      </c>
    </row>
    <row r="133" spans="1:9" x14ac:dyDescent="0.25">
      <c r="A133" t="s">
        <v>91</v>
      </c>
      <c r="B133" t="s">
        <v>92</v>
      </c>
      <c r="C133" t="s">
        <v>10</v>
      </c>
      <c r="D133">
        <v>0</v>
      </c>
      <c r="E133">
        <v>-217.48</v>
      </c>
      <c r="F133">
        <v>0</v>
      </c>
      <c r="G133">
        <v>0</v>
      </c>
      <c r="H133">
        <v>0</v>
      </c>
      <c r="I133">
        <v>-5962.8220000000001</v>
      </c>
    </row>
    <row r="134" spans="1:9" x14ac:dyDescent="0.25">
      <c r="A134" t="s">
        <v>91</v>
      </c>
      <c r="B134" t="s">
        <v>11</v>
      </c>
      <c r="C134" t="s">
        <v>18</v>
      </c>
      <c r="D134">
        <v>0</v>
      </c>
      <c r="E134">
        <v>174.46</v>
      </c>
      <c r="F134">
        <v>0</v>
      </c>
      <c r="G134">
        <v>0</v>
      </c>
      <c r="H134">
        <v>0</v>
      </c>
      <c r="I134">
        <v>3921.9929999999999</v>
      </c>
    </row>
    <row r="135" spans="1:9" x14ac:dyDescent="0.25">
      <c r="A135" t="s">
        <v>91</v>
      </c>
      <c r="B135" t="s">
        <v>11</v>
      </c>
      <c r="C135" t="s">
        <v>10</v>
      </c>
      <c r="D135">
        <v>0</v>
      </c>
      <c r="E135">
        <v>174.46</v>
      </c>
      <c r="F135">
        <v>0</v>
      </c>
      <c r="G135">
        <v>0</v>
      </c>
      <c r="H135">
        <v>0</v>
      </c>
      <c r="I135">
        <v>4594.0550000000003</v>
      </c>
    </row>
    <row r="136" spans="1:9" x14ac:dyDescent="0.25">
      <c r="A136" t="s">
        <v>91</v>
      </c>
      <c r="B136" t="s">
        <v>12</v>
      </c>
      <c r="C136" t="s">
        <v>18</v>
      </c>
      <c r="D136">
        <v>343.8</v>
      </c>
      <c r="E136">
        <v>0</v>
      </c>
      <c r="F136">
        <v>0</v>
      </c>
      <c r="G136">
        <v>0</v>
      </c>
      <c r="H136">
        <v>0</v>
      </c>
      <c r="I136">
        <v>-4641.2510000000002</v>
      </c>
    </row>
    <row r="137" spans="1:9" x14ac:dyDescent="0.25">
      <c r="A137" t="s">
        <v>91</v>
      </c>
      <c r="B137" t="s">
        <v>12</v>
      </c>
      <c r="C137" t="s">
        <v>10</v>
      </c>
      <c r="D137">
        <v>343.8</v>
      </c>
      <c r="E137">
        <v>0</v>
      </c>
      <c r="F137">
        <v>0</v>
      </c>
      <c r="G137">
        <v>0</v>
      </c>
      <c r="H137">
        <v>0</v>
      </c>
      <c r="I137">
        <v>-4641.2510000000002</v>
      </c>
    </row>
    <row r="138" spans="1:9" x14ac:dyDescent="0.25">
      <c r="A138" t="s">
        <v>91</v>
      </c>
      <c r="B138" t="s">
        <v>13</v>
      </c>
      <c r="C138" t="s">
        <v>18</v>
      </c>
      <c r="D138">
        <v>0</v>
      </c>
      <c r="E138">
        <v>211.48</v>
      </c>
      <c r="F138">
        <v>0</v>
      </c>
      <c r="G138">
        <v>0</v>
      </c>
      <c r="H138">
        <v>0</v>
      </c>
      <c r="I138">
        <v>4754.24</v>
      </c>
    </row>
    <row r="139" spans="1:9" x14ac:dyDescent="0.25">
      <c r="A139" t="s">
        <v>91</v>
      </c>
      <c r="B139" t="s">
        <v>13</v>
      </c>
      <c r="C139" t="s">
        <v>10</v>
      </c>
      <c r="D139">
        <v>0</v>
      </c>
      <c r="E139">
        <v>211.48</v>
      </c>
      <c r="F139">
        <v>0</v>
      </c>
      <c r="G139">
        <v>0</v>
      </c>
      <c r="H139">
        <v>0</v>
      </c>
      <c r="I139">
        <v>5568.9139999999998</v>
      </c>
    </row>
    <row r="140" spans="1:9" x14ac:dyDescent="0.25">
      <c r="A140" t="s">
        <v>91</v>
      </c>
      <c r="B140" t="s">
        <v>21</v>
      </c>
      <c r="C140" t="s">
        <v>18</v>
      </c>
      <c r="D140">
        <v>0</v>
      </c>
      <c r="E140">
        <v>-211.48</v>
      </c>
      <c r="F140">
        <v>0</v>
      </c>
      <c r="G140">
        <v>0</v>
      </c>
      <c r="H140">
        <v>0</v>
      </c>
      <c r="I140">
        <v>-4754.24</v>
      </c>
    </row>
    <row r="141" spans="1:9" x14ac:dyDescent="0.25">
      <c r="A141" t="s">
        <v>91</v>
      </c>
      <c r="B141" t="s">
        <v>21</v>
      </c>
      <c r="C141" t="s">
        <v>10</v>
      </c>
      <c r="D141">
        <v>0</v>
      </c>
      <c r="E141">
        <v>-211.48</v>
      </c>
      <c r="F141">
        <v>0</v>
      </c>
      <c r="G141">
        <v>0</v>
      </c>
      <c r="H141">
        <v>0</v>
      </c>
      <c r="I141">
        <v>-5568.9139999999998</v>
      </c>
    </row>
    <row r="142" spans="1:9" x14ac:dyDescent="0.25">
      <c r="A142" t="s">
        <v>17</v>
      </c>
      <c r="B142" t="s">
        <v>9</v>
      </c>
      <c r="C142" t="s">
        <v>18</v>
      </c>
      <c r="D142">
        <v>3207.6</v>
      </c>
      <c r="E142">
        <v>0</v>
      </c>
      <c r="F142">
        <v>0</v>
      </c>
      <c r="G142">
        <v>0</v>
      </c>
      <c r="H142">
        <v>0</v>
      </c>
      <c r="I142">
        <v>-43302.6</v>
      </c>
    </row>
    <row r="143" spans="1:9" x14ac:dyDescent="0.25">
      <c r="A143" t="s">
        <v>17</v>
      </c>
      <c r="B143" t="s">
        <v>9</v>
      </c>
      <c r="C143" t="s">
        <v>10</v>
      </c>
      <c r="D143">
        <v>3207.6</v>
      </c>
      <c r="E143">
        <v>0</v>
      </c>
      <c r="F143">
        <v>0</v>
      </c>
      <c r="G143">
        <v>0</v>
      </c>
      <c r="H143">
        <v>0</v>
      </c>
      <c r="I143">
        <v>-43302.6</v>
      </c>
    </row>
    <row r="144" spans="1:9" x14ac:dyDescent="0.25">
      <c r="A144" t="s">
        <v>17</v>
      </c>
      <c r="B144" t="s">
        <v>19</v>
      </c>
      <c r="C144" t="s">
        <v>18</v>
      </c>
      <c r="D144">
        <v>801.9</v>
      </c>
      <c r="E144">
        <v>0</v>
      </c>
      <c r="F144">
        <v>0</v>
      </c>
      <c r="G144">
        <v>0</v>
      </c>
      <c r="H144">
        <v>0</v>
      </c>
      <c r="I144">
        <v>-10825.65</v>
      </c>
    </row>
    <row r="145" spans="1:9" x14ac:dyDescent="0.25">
      <c r="A145" t="s">
        <v>17</v>
      </c>
      <c r="B145" t="s">
        <v>19</v>
      </c>
      <c r="C145" t="s">
        <v>10</v>
      </c>
      <c r="D145">
        <v>801.9</v>
      </c>
      <c r="E145">
        <v>0</v>
      </c>
      <c r="F145">
        <v>0</v>
      </c>
      <c r="G145">
        <v>0</v>
      </c>
      <c r="H145">
        <v>0</v>
      </c>
      <c r="I145">
        <v>-10825.65</v>
      </c>
    </row>
    <row r="146" spans="1:9" x14ac:dyDescent="0.25">
      <c r="A146" t="s">
        <v>17</v>
      </c>
      <c r="B146" t="s">
        <v>92</v>
      </c>
      <c r="C146" t="s">
        <v>18</v>
      </c>
      <c r="D146">
        <v>0</v>
      </c>
      <c r="E146">
        <v>-223.54</v>
      </c>
      <c r="F146">
        <v>0</v>
      </c>
      <c r="G146">
        <v>0</v>
      </c>
      <c r="H146">
        <v>0</v>
      </c>
      <c r="I146">
        <v>-5962.8220000000001</v>
      </c>
    </row>
    <row r="147" spans="1:9" x14ac:dyDescent="0.25">
      <c r="A147" t="s">
        <v>17</v>
      </c>
      <c r="B147" t="s">
        <v>92</v>
      </c>
      <c r="C147" t="s">
        <v>10</v>
      </c>
      <c r="D147">
        <v>0</v>
      </c>
      <c r="E147">
        <v>-223.54</v>
      </c>
      <c r="F147">
        <v>0</v>
      </c>
      <c r="G147">
        <v>0</v>
      </c>
      <c r="H147">
        <v>0</v>
      </c>
      <c r="I147">
        <v>-6905.9750000000004</v>
      </c>
    </row>
    <row r="148" spans="1:9" x14ac:dyDescent="0.25">
      <c r="A148" t="s">
        <v>17</v>
      </c>
      <c r="B148" t="s">
        <v>11</v>
      </c>
      <c r="C148" t="s">
        <v>18</v>
      </c>
      <c r="D148">
        <v>0</v>
      </c>
      <c r="E148">
        <v>182.29</v>
      </c>
      <c r="F148">
        <v>0</v>
      </c>
      <c r="G148">
        <v>0</v>
      </c>
      <c r="H148">
        <v>0</v>
      </c>
      <c r="I148">
        <v>4594.0550000000003</v>
      </c>
    </row>
    <row r="149" spans="1:9" x14ac:dyDescent="0.25">
      <c r="A149" t="s">
        <v>17</v>
      </c>
      <c r="B149" t="s">
        <v>11</v>
      </c>
      <c r="C149" t="s">
        <v>10</v>
      </c>
      <c r="D149">
        <v>0</v>
      </c>
      <c r="E149">
        <v>182.29</v>
      </c>
      <c r="F149">
        <v>0</v>
      </c>
      <c r="G149">
        <v>0</v>
      </c>
      <c r="H149">
        <v>0</v>
      </c>
      <c r="I149">
        <v>5294.6890000000003</v>
      </c>
    </row>
    <row r="150" spans="1:9" x14ac:dyDescent="0.25">
      <c r="A150" t="s">
        <v>17</v>
      </c>
      <c r="B150" t="s">
        <v>12</v>
      </c>
      <c r="C150" t="s">
        <v>18</v>
      </c>
      <c r="D150">
        <v>378.18</v>
      </c>
      <c r="E150">
        <v>0</v>
      </c>
      <c r="F150">
        <v>0</v>
      </c>
      <c r="G150">
        <v>0</v>
      </c>
      <c r="H150">
        <v>0</v>
      </c>
      <c r="I150">
        <v>-5105.3770000000004</v>
      </c>
    </row>
    <row r="151" spans="1:9" x14ac:dyDescent="0.25">
      <c r="A151" t="s">
        <v>17</v>
      </c>
      <c r="B151" t="s">
        <v>12</v>
      </c>
      <c r="C151" t="s">
        <v>10</v>
      </c>
      <c r="D151">
        <v>378.18</v>
      </c>
      <c r="E151">
        <v>0</v>
      </c>
      <c r="F151">
        <v>0</v>
      </c>
      <c r="G151">
        <v>0</v>
      </c>
      <c r="H151">
        <v>0</v>
      </c>
      <c r="I151">
        <v>-5105.3770000000004</v>
      </c>
    </row>
    <row r="152" spans="1:9" x14ac:dyDescent="0.25">
      <c r="A152" t="s">
        <v>17</v>
      </c>
      <c r="B152" t="s">
        <v>13</v>
      </c>
      <c r="C152" t="s">
        <v>18</v>
      </c>
      <c r="D152">
        <v>0</v>
      </c>
      <c r="E152">
        <v>220.97</v>
      </c>
      <c r="F152">
        <v>0</v>
      </c>
      <c r="G152">
        <v>0</v>
      </c>
      <c r="H152">
        <v>0</v>
      </c>
      <c r="I152">
        <v>5568.9139999999998</v>
      </c>
    </row>
    <row r="153" spans="1:9" x14ac:dyDescent="0.25">
      <c r="A153" t="s">
        <v>17</v>
      </c>
      <c r="B153" t="s">
        <v>13</v>
      </c>
      <c r="C153" t="s">
        <v>10</v>
      </c>
      <c r="D153">
        <v>0</v>
      </c>
      <c r="E153">
        <v>220.97</v>
      </c>
      <c r="F153">
        <v>0</v>
      </c>
      <c r="G153">
        <v>0</v>
      </c>
      <c r="H153">
        <v>0</v>
      </c>
      <c r="I153">
        <v>6418.2219999999998</v>
      </c>
    </row>
    <row r="154" spans="1:9" x14ac:dyDescent="0.25">
      <c r="A154" t="s">
        <v>17</v>
      </c>
      <c r="B154" t="s">
        <v>21</v>
      </c>
      <c r="C154" t="s">
        <v>18</v>
      </c>
      <c r="D154">
        <v>0</v>
      </c>
      <c r="E154">
        <v>-220.97</v>
      </c>
      <c r="F154">
        <v>0</v>
      </c>
      <c r="G154">
        <v>0</v>
      </c>
      <c r="H154">
        <v>0</v>
      </c>
      <c r="I154">
        <v>-5568.9139999999998</v>
      </c>
    </row>
    <row r="155" spans="1:9" x14ac:dyDescent="0.25">
      <c r="A155" t="s">
        <v>17</v>
      </c>
      <c r="B155" t="s">
        <v>21</v>
      </c>
      <c r="C155" t="s">
        <v>10</v>
      </c>
      <c r="D155">
        <v>0</v>
      </c>
      <c r="E155">
        <v>-220.97</v>
      </c>
      <c r="F155">
        <v>0</v>
      </c>
      <c r="G155">
        <v>0</v>
      </c>
      <c r="H155">
        <v>0</v>
      </c>
      <c r="I155">
        <v>-6418.2219999999998</v>
      </c>
    </row>
    <row r="156" spans="1:9" x14ac:dyDescent="0.25">
      <c r="A156" t="s">
        <v>14</v>
      </c>
      <c r="B156" t="s">
        <v>9</v>
      </c>
      <c r="C156" t="s">
        <v>18</v>
      </c>
      <c r="D156">
        <v>3499.2</v>
      </c>
      <c r="E156">
        <v>0</v>
      </c>
      <c r="F156">
        <v>0</v>
      </c>
      <c r="G156">
        <v>0</v>
      </c>
      <c r="H156">
        <v>0</v>
      </c>
      <c r="I156">
        <v>-47239.199999999997</v>
      </c>
    </row>
    <row r="157" spans="1:9" x14ac:dyDescent="0.25">
      <c r="A157" t="s">
        <v>14</v>
      </c>
      <c r="B157" t="s">
        <v>9</v>
      </c>
      <c r="C157" t="s">
        <v>10</v>
      </c>
      <c r="D157">
        <v>3499.2</v>
      </c>
      <c r="E157">
        <v>0</v>
      </c>
      <c r="F157">
        <v>0</v>
      </c>
      <c r="G157">
        <v>0</v>
      </c>
      <c r="H157">
        <v>0</v>
      </c>
      <c r="I157">
        <v>-47239.199999999997</v>
      </c>
    </row>
    <row r="158" spans="1:9" x14ac:dyDescent="0.25">
      <c r="A158" t="s">
        <v>14</v>
      </c>
      <c r="B158" t="s">
        <v>19</v>
      </c>
      <c r="C158" t="s">
        <v>18</v>
      </c>
      <c r="D158">
        <v>874.8</v>
      </c>
      <c r="E158">
        <v>0</v>
      </c>
      <c r="F158">
        <v>0</v>
      </c>
      <c r="G158">
        <v>0</v>
      </c>
      <c r="H158">
        <v>0</v>
      </c>
      <c r="I158">
        <v>-11809.8</v>
      </c>
    </row>
    <row r="159" spans="1:9" x14ac:dyDescent="0.25">
      <c r="A159" t="s">
        <v>14</v>
      </c>
      <c r="B159" t="s">
        <v>19</v>
      </c>
      <c r="C159" t="s">
        <v>10</v>
      </c>
      <c r="D159">
        <v>874.8</v>
      </c>
      <c r="E159">
        <v>0</v>
      </c>
      <c r="F159">
        <v>0</v>
      </c>
      <c r="G159">
        <v>0</v>
      </c>
      <c r="H159">
        <v>0</v>
      </c>
      <c r="I159">
        <v>-11809.8</v>
      </c>
    </row>
    <row r="160" spans="1:9" x14ac:dyDescent="0.25">
      <c r="A160" t="s">
        <v>14</v>
      </c>
      <c r="B160" t="s">
        <v>92</v>
      </c>
      <c r="C160" t="s">
        <v>18</v>
      </c>
      <c r="D160">
        <v>0</v>
      </c>
      <c r="E160">
        <v>-226.75</v>
      </c>
      <c r="F160">
        <v>0</v>
      </c>
      <c r="G160">
        <v>0</v>
      </c>
      <c r="H160">
        <v>0</v>
      </c>
      <c r="I160">
        <v>-6905.9750000000004</v>
      </c>
    </row>
    <row r="161" spans="1:9" x14ac:dyDescent="0.25">
      <c r="A161" t="s">
        <v>14</v>
      </c>
      <c r="B161" t="s">
        <v>92</v>
      </c>
      <c r="C161" t="s">
        <v>10</v>
      </c>
      <c r="D161">
        <v>0</v>
      </c>
      <c r="E161">
        <v>-226.75</v>
      </c>
      <c r="F161">
        <v>0</v>
      </c>
      <c r="G161">
        <v>0</v>
      </c>
      <c r="H161">
        <v>0</v>
      </c>
      <c r="I161">
        <v>-7961.085</v>
      </c>
    </row>
    <row r="162" spans="1:9" x14ac:dyDescent="0.25">
      <c r="A162" t="s">
        <v>14</v>
      </c>
      <c r="B162" t="s">
        <v>11</v>
      </c>
      <c r="C162" t="s">
        <v>18</v>
      </c>
      <c r="D162">
        <v>0</v>
      </c>
      <c r="E162">
        <v>187.06</v>
      </c>
      <c r="F162">
        <v>0</v>
      </c>
      <c r="G162">
        <v>0</v>
      </c>
      <c r="H162">
        <v>0</v>
      </c>
      <c r="I162">
        <v>5294.6890000000003</v>
      </c>
    </row>
    <row r="163" spans="1:9" x14ac:dyDescent="0.25">
      <c r="A163" t="s">
        <v>14</v>
      </c>
      <c r="B163" t="s">
        <v>11</v>
      </c>
      <c r="C163" t="s">
        <v>10</v>
      </c>
      <c r="D163">
        <v>0</v>
      </c>
      <c r="E163">
        <v>187.06</v>
      </c>
      <c r="F163">
        <v>0</v>
      </c>
      <c r="G163">
        <v>0</v>
      </c>
      <c r="H163">
        <v>0</v>
      </c>
      <c r="I163">
        <v>6094.1670000000004</v>
      </c>
    </row>
    <row r="164" spans="1:9" x14ac:dyDescent="0.25">
      <c r="A164" t="s">
        <v>14</v>
      </c>
      <c r="B164" t="s">
        <v>12</v>
      </c>
      <c r="C164" t="s">
        <v>18</v>
      </c>
      <c r="D164">
        <v>412.56</v>
      </c>
      <c r="E164">
        <v>0</v>
      </c>
      <c r="F164">
        <v>0</v>
      </c>
      <c r="G164">
        <v>0</v>
      </c>
      <c r="H164">
        <v>0</v>
      </c>
      <c r="I164">
        <v>-5569.5020000000004</v>
      </c>
    </row>
    <row r="165" spans="1:9" x14ac:dyDescent="0.25">
      <c r="A165" t="s">
        <v>14</v>
      </c>
      <c r="B165" t="s">
        <v>12</v>
      </c>
      <c r="C165" t="s">
        <v>10</v>
      </c>
      <c r="D165">
        <v>412.56</v>
      </c>
      <c r="E165">
        <v>0</v>
      </c>
      <c r="F165">
        <v>0</v>
      </c>
      <c r="G165">
        <v>0</v>
      </c>
      <c r="H165">
        <v>0</v>
      </c>
      <c r="I165">
        <v>-5569.5020000000004</v>
      </c>
    </row>
    <row r="166" spans="1:9" x14ac:dyDescent="0.25">
      <c r="A166" t="s">
        <v>14</v>
      </c>
      <c r="B166" t="s">
        <v>13</v>
      </c>
      <c r="C166" t="s">
        <v>18</v>
      </c>
      <c r="D166">
        <v>0</v>
      </c>
      <c r="E166">
        <v>226.76</v>
      </c>
      <c r="F166">
        <v>0</v>
      </c>
      <c r="G166">
        <v>0</v>
      </c>
      <c r="H166">
        <v>0</v>
      </c>
      <c r="I166">
        <v>6418.2219999999998</v>
      </c>
    </row>
    <row r="167" spans="1:9" x14ac:dyDescent="0.25">
      <c r="A167" t="s">
        <v>14</v>
      </c>
      <c r="B167" t="s">
        <v>13</v>
      </c>
      <c r="C167" t="s">
        <v>10</v>
      </c>
      <c r="D167">
        <v>0</v>
      </c>
      <c r="E167">
        <v>226.76</v>
      </c>
      <c r="F167">
        <v>0</v>
      </c>
      <c r="G167">
        <v>0</v>
      </c>
      <c r="H167">
        <v>0</v>
      </c>
      <c r="I167">
        <v>7387.3490000000002</v>
      </c>
    </row>
    <row r="168" spans="1:9" x14ac:dyDescent="0.25">
      <c r="A168" t="s">
        <v>14</v>
      </c>
      <c r="B168" t="s">
        <v>21</v>
      </c>
      <c r="C168" t="s">
        <v>18</v>
      </c>
      <c r="D168">
        <v>0</v>
      </c>
      <c r="E168">
        <v>-226.76</v>
      </c>
      <c r="F168">
        <v>0</v>
      </c>
      <c r="G168">
        <v>0</v>
      </c>
      <c r="H168">
        <v>0</v>
      </c>
      <c r="I168">
        <v>-6418.2219999999998</v>
      </c>
    </row>
    <row r="169" spans="1:9" x14ac:dyDescent="0.25">
      <c r="A169" t="s">
        <v>14</v>
      </c>
      <c r="B169" t="s">
        <v>21</v>
      </c>
      <c r="C169" t="s">
        <v>10</v>
      </c>
      <c r="D169">
        <v>0</v>
      </c>
      <c r="E169">
        <v>-226.76</v>
      </c>
      <c r="F169">
        <v>0</v>
      </c>
      <c r="G169">
        <v>0</v>
      </c>
      <c r="H169">
        <v>0</v>
      </c>
      <c r="I169">
        <v>-7387.3490000000002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>
    <tabColor theme="4"/>
  </sheetPr>
  <dimension ref="A1:AO100"/>
  <sheetViews>
    <sheetView topLeftCell="V1" workbookViewId="0">
      <selection activeCell="AG20" sqref="AG20"/>
    </sheetView>
  </sheetViews>
  <sheetFormatPr defaultColWidth="9" defaultRowHeight="18" customHeight="1" x14ac:dyDescent="0.25"/>
  <cols>
    <col min="1" max="5" width="9" style="11" customWidth="1"/>
    <col min="6" max="6" width="10.875" style="11" customWidth="1"/>
    <col min="7" max="7" width="13.375" style="11" customWidth="1"/>
    <col min="8" max="12" width="9" style="11" customWidth="1"/>
    <col min="13" max="13" width="10.875" style="11" customWidth="1"/>
    <col min="14" max="14" width="13.375" style="11" customWidth="1"/>
    <col min="15" max="15" width="9" style="11"/>
    <col min="16" max="19" width="9" style="11" customWidth="1"/>
    <col min="20" max="20" width="10.875" style="11" customWidth="1"/>
    <col min="21" max="21" width="13.375" style="11" customWidth="1"/>
    <col min="22" max="22" width="9" style="11" customWidth="1"/>
    <col min="23" max="23" width="10.625" style="11" customWidth="1"/>
    <col min="24" max="24" width="9" style="11" customWidth="1"/>
    <col min="25" max="25" width="9" style="11"/>
    <col min="26" max="30" width="9.25" style="11" bestFit="1" customWidth="1"/>
    <col min="31" max="31" width="13.625" style="11" bestFit="1" customWidth="1"/>
    <col min="32" max="33" width="9" style="11"/>
    <col min="34" max="34" width="14.125" style="11" bestFit="1" customWidth="1"/>
    <col min="35" max="35" width="10.25" style="11" bestFit="1" customWidth="1"/>
    <col min="36" max="40" width="9.25" style="11" bestFit="1" customWidth="1"/>
    <col min="41" max="41" width="11.75" style="11" bestFit="1" customWidth="1"/>
    <col min="42" max="16384" width="9" style="11"/>
  </cols>
  <sheetData>
    <row r="1" spans="1:41" ht="18" customHeight="1" x14ac:dyDescent="0.25">
      <c r="C1" s="11" t="s">
        <v>93</v>
      </c>
      <c r="D1" s="24">
        <v>9</v>
      </c>
    </row>
    <row r="2" spans="1:41" ht="18" customHeight="1" x14ac:dyDescent="0.25">
      <c r="A2" s="11" t="s">
        <v>59</v>
      </c>
      <c r="D2" s="17" t="s">
        <v>52</v>
      </c>
    </row>
    <row r="4" spans="1:41" ht="18" customHeight="1" x14ac:dyDescent="0.25">
      <c r="K4" s="35"/>
    </row>
    <row r="5" spans="1:41" ht="18" customHeight="1" x14ac:dyDescent="0.25">
      <c r="K5" s="35"/>
    </row>
    <row r="6" spans="1:41" ht="18" customHeight="1" x14ac:dyDescent="0.25">
      <c r="K6" s="35"/>
    </row>
    <row r="7" spans="1:41" ht="18" customHeight="1" x14ac:dyDescent="0.25">
      <c r="K7" s="35"/>
    </row>
    <row r="10" spans="1:41" ht="18" customHeight="1" x14ac:dyDescent="0.25">
      <c r="W10" s="33" t="s">
        <v>28</v>
      </c>
      <c r="X10" s="16">
        <f>-AA16/Z15</f>
        <v>6.4800525834476458E-2</v>
      </c>
      <c r="AG10" s="40" t="s">
        <v>35</v>
      </c>
      <c r="AH10" s="40"/>
      <c r="AI10" s="16">
        <f>-AK15/SQRT(AK16^2+AL16^2)</f>
        <v>1.2121779108307495</v>
      </c>
    </row>
    <row r="11" spans="1:41" ht="18" customHeight="1" x14ac:dyDescent="0.25">
      <c r="W11" s="33" t="s">
        <v>94</v>
      </c>
      <c r="X11" s="16">
        <f>Z17/Z15</f>
        <v>0.11790123456790125</v>
      </c>
      <c r="AG11" s="40" t="s">
        <v>95</v>
      </c>
      <c r="AH11" s="40"/>
      <c r="AI11" s="34">
        <f>-AK15/SQRT(AK17^2+AL17^2)</f>
        <v>0.99995590051155414</v>
      </c>
    </row>
    <row r="13" spans="1:41" ht="18" customHeight="1" x14ac:dyDescent="0.25">
      <c r="B13" s="13" t="s">
        <v>30</v>
      </c>
      <c r="C13" s="32" t="s">
        <v>0</v>
      </c>
      <c r="D13" s="32" t="s">
        <v>3</v>
      </c>
      <c r="E13" s="32" t="s">
        <v>33</v>
      </c>
      <c r="F13" s="32" t="s">
        <v>16</v>
      </c>
      <c r="G13" s="32" t="s">
        <v>31</v>
      </c>
      <c r="I13" s="13" t="s">
        <v>30</v>
      </c>
      <c r="J13" s="32" t="s">
        <v>0</v>
      </c>
      <c r="K13" s="32" t="s">
        <v>32</v>
      </c>
      <c r="L13" s="32" t="s">
        <v>33</v>
      </c>
      <c r="M13" s="32" t="s">
        <v>36</v>
      </c>
      <c r="N13" s="32" t="s">
        <v>37</v>
      </c>
      <c r="P13" s="13" t="s">
        <v>34</v>
      </c>
      <c r="Q13" s="32" t="s">
        <v>0</v>
      </c>
      <c r="R13" s="32" t="s">
        <v>3</v>
      </c>
      <c r="S13" s="32" t="s">
        <v>33</v>
      </c>
      <c r="T13" s="32" t="s">
        <v>16</v>
      </c>
      <c r="U13" s="32" t="s">
        <v>31</v>
      </c>
      <c r="W13" s="39" t="s">
        <v>53</v>
      </c>
      <c r="X13" s="39"/>
      <c r="AG13" s="39" t="s">
        <v>86</v>
      </c>
      <c r="AH13" s="39"/>
    </row>
    <row r="14" spans="1:41" ht="18" customHeight="1" x14ac:dyDescent="0.25">
      <c r="C14" s="32" t="s">
        <v>29</v>
      </c>
      <c r="D14" s="11">
        <v>291.60000000000002</v>
      </c>
      <c r="E14" s="11">
        <f>D14</f>
        <v>291.60000000000002</v>
      </c>
      <c r="F14" s="11">
        <f>IF(D14="","",($D$1*3)*$D$1)</f>
        <v>243</v>
      </c>
      <c r="G14" s="22">
        <f>IFERROR(E14/F14,"")</f>
        <v>1.2000000000000002</v>
      </c>
      <c r="J14" s="32" t="s">
        <v>29</v>
      </c>
      <c r="K14" s="11">
        <v>29.734923999999999</v>
      </c>
      <c r="L14" s="11">
        <f>IF(K14&gt;0,K14*9.81,"")</f>
        <v>291.69960444000003</v>
      </c>
      <c r="M14" s="11">
        <f>IF(K14="","",($D$1*3)*$D$1)</f>
        <v>243</v>
      </c>
      <c r="N14" s="22">
        <f t="shared" ref="N14:N20" si="0">IF((L14= "")+(M14=""),"",L14/M14)</f>
        <v>1.200409894814815</v>
      </c>
      <c r="Q14" s="32" t="s">
        <v>29</v>
      </c>
      <c r="R14" s="11">
        <v>72.900000000000006</v>
      </c>
      <c r="S14" s="11">
        <f>R14</f>
        <v>72.900000000000006</v>
      </c>
      <c r="T14" s="11">
        <f>IF(R14="","",($D$1*3)*$D$1)</f>
        <v>243</v>
      </c>
      <c r="U14" s="22">
        <f>IF((S14= "")+(T14=""),"",S14/T14)</f>
        <v>0.30000000000000004</v>
      </c>
      <c r="W14" s="32" t="s">
        <v>0</v>
      </c>
      <c r="X14" s="32" t="s">
        <v>1</v>
      </c>
      <c r="Y14" s="32" t="s">
        <v>2</v>
      </c>
      <c r="Z14" s="32" t="s">
        <v>3</v>
      </c>
      <c r="AA14" s="32" t="s">
        <v>4</v>
      </c>
      <c r="AB14" s="32" t="s">
        <v>5</v>
      </c>
      <c r="AC14" s="32" t="s">
        <v>6</v>
      </c>
      <c r="AD14" s="32" t="s">
        <v>7</v>
      </c>
      <c r="AE14" s="32" t="s">
        <v>8</v>
      </c>
      <c r="AG14" s="32" t="s">
        <v>0</v>
      </c>
      <c r="AH14" s="32" t="s">
        <v>1</v>
      </c>
      <c r="AI14" s="32" t="s">
        <v>2</v>
      </c>
      <c r="AJ14" s="32" t="s">
        <v>3</v>
      </c>
      <c r="AK14" s="32" t="s">
        <v>4</v>
      </c>
      <c r="AL14" s="32" t="s">
        <v>5</v>
      </c>
      <c r="AM14" s="32" t="s">
        <v>6</v>
      </c>
      <c r="AN14" s="32" t="s">
        <v>7</v>
      </c>
      <c r="AO14" s="32" t="s">
        <v>8</v>
      </c>
    </row>
    <row r="15" spans="1:41" ht="18" customHeight="1" x14ac:dyDescent="0.25">
      <c r="C15" s="32" t="s">
        <v>137</v>
      </c>
      <c r="D15" s="11">
        <v>583.20000000000005</v>
      </c>
      <c r="E15" s="11">
        <f>IF(D15-D14&gt;0,D15-D14,"")</f>
        <v>291.60000000000002</v>
      </c>
      <c r="F15" s="11">
        <f t="shared" ref="F15:F78" si="1">IF(D15="","",($D$1*3)*$D$1)</f>
        <v>243</v>
      </c>
      <c r="G15" s="22">
        <f t="shared" ref="G15:G78" si="2">IFERROR(E15/F15,"")</f>
        <v>1.2000000000000002</v>
      </c>
      <c r="J15" s="32" t="s">
        <v>137</v>
      </c>
      <c r="K15" s="11">
        <v>29.734923999999999</v>
      </c>
      <c r="L15" s="11">
        <f t="shared" ref="L15:L28" si="3">IF(K15&gt;0,K15*9.81,"")</f>
        <v>291.69960444000003</v>
      </c>
      <c r="M15" s="11">
        <f t="shared" ref="M15:M78" si="4">IF(K15="","",($D$1*3)*$D$1)</f>
        <v>243</v>
      </c>
      <c r="N15" s="22">
        <f t="shared" si="0"/>
        <v>1.200409894814815</v>
      </c>
      <c r="Q15" s="32" t="s">
        <v>137</v>
      </c>
      <c r="R15" s="11">
        <v>145.80000000000001</v>
      </c>
      <c r="S15" s="11">
        <f>IF(R15-R14&gt;0,R15-R14,"")</f>
        <v>72.900000000000006</v>
      </c>
      <c r="T15" s="11">
        <f t="shared" ref="T15:T78" si="5">IF(R15="","",($D$1*3)*$D$1)</f>
        <v>243</v>
      </c>
      <c r="U15" s="22">
        <f t="shared" ref="U15:U78" si="6">IF((S15= "")+(T15=""),"",S15/T15)</f>
        <v>0.30000000000000004</v>
      </c>
      <c r="W15" s="32" t="s">
        <v>14</v>
      </c>
      <c r="X15" s="11" t="s">
        <v>9</v>
      </c>
      <c r="Y15" s="32" t="s">
        <v>10</v>
      </c>
      <c r="Z15" s="14">
        <v>3499.2</v>
      </c>
      <c r="AA15" s="11">
        <v>0</v>
      </c>
      <c r="AB15" s="11">
        <v>0</v>
      </c>
      <c r="AC15" s="11">
        <v>0</v>
      </c>
      <c r="AD15" s="11">
        <v>0</v>
      </c>
      <c r="AE15" s="11">
        <v>-47239.199999999997</v>
      </c>
      <c r="AG15" s="32" t="s">
        <v>14</v>
      </c>
      <c r="AH15" s="11" t="s">
        <v>92</v>
      </c>
      <c r="AI15" s="32" t="s">
        <v>10</v>
      </c>
      <c r="AJ15" s="11">
        <v>0</v>
      </c>
      <c r="AK15" s="14">
        <v>-226.75</v>
      </c>
      <c r="AL15" s="11">
        <v>0</v>
      </c>
      <c r="AM15" s="11">
        <v>0</v>
      </c>
      <c r="AN15" s="11">
        <v>0</v>
      </c>
      <c r="AO15" s="11">
        <v>-7961.085</v>
      </c>
    </row>
    <row r="16" spans="1:41" ht="18" customHeight="1" x14ac:dyDescent="0.25">
      <c r="C16" s="32" t="s">
        <v>138</v>
      </c>
      <c r="D16" s="11">
        <v>874.8</v>
      </c>
      <c r="E16" s="11">
        <f t="shared" ref="E16:E24" si="7">IF(D16-D15&gt;0,D16-D15,"")</f>
        <v>291.59999999999991</v>
      </c>
      <c r="F16" s="11">
        <f t="shared" si="1"/>
        <v>243</v>
      </c>
      <c r="G16" s="22">
        <f t="shared" si="2"/>
        <v>1.1999999999999997</v>
      </c>
      <c r="J16" s="32" t="s">
        <v>138</v>
      </c>
      <c r="K16" s="11">
        <v>29.734923999999999</v>
      </c>
      <c r="L16" s="11">
        <f t="shared" si="3"/>
        <v>291.69960444000003</v>
      </c>
      <c r="M16" s="11">
        <f t="shared" si="4"/>
        <v>243</v>
      </c>
      <c r="N16" s="22">
        <f t="shared" si="0"/>
        <v>1.200409894814815</v>
      </c>
      <c r="Q16" s="32" t="s">
        <v>138</v>
      </c>
      <c r="R16" s="11">
        <v>218.7</v>
      </c>
      <c r="S16" s="11">
        <f t="shared" ref="S16:S27" si="8">IF(R16-R15&gt;0,R16-R15,"")</f>
        <v>72.899999999999977</v>
      </c>
      <c r="T16" s="11">
        <f t="shared" si="5"/>
        <v>243</v>
      </c>
      <c r="U16" s="22">
        <f t="shared" si="6"/>
        <v>0.29999999999999993</v>
      </c>
      <c r="W16" s="32" t="s">
        <v>14</v>
      </c>
      <c r="X16" s="11" t="s">
        <v>92</v>
      </c>
      <c r="Y16" s="32" t="s">
        <v>10</v>
      </c>
      <c r="Z16" s="11">
        <v>0</v>
      </c>
      <c r="AA16" s="14">
        <v>-226.75</v>
      </c>
      <c r="AB16" s="11">
        <v>0</v>
      </c>
      <c r="AC16" s="11">
        <v>0</v>
      </c>
      <c r="AD16" s="11">
        <v>0</v>
      </c>
      <c r="AE16" s="11">
        <v>-7961.085</v>
      </c>
      <c r="AG16" s="32" t="s">
        <v>14</v>
      </c>
      <c r="AH16" s="11" t="s">
        <v>11</v>
      </c>
      <c r="AI16" s="32" t="s">
        <v>10</v>
      </c>
      <c r="AJ16" s="11">
        <v>0</v>
      </c>
      <c r="AK16" s="14">
        <v>187.06</v>
      </c>
      <c r="AL16" s="14">
        <v>0</v>
      </c>
      <c r="AM16" s="11">
        <v>0</v>
      </c>
      <c r="AN16" s="11">
        <v>0</v>
      </c>
      <c r="AO16" s="11">
        <v>6094.1670000000004</v>
      </c>
    </row>
    <row r="17" spans="3:41" ht="18" customHeight="1" x14ac:dyDescent="0.25">
      <c r="C17" s="32" t="s">
        <v>139</v>
      </c>
      <c r="D17" s="11">
        <v>1166.4000000000001</v>
      </c>
      <c r="E17" s="11">
        <f t="shared" si="7"/>
        <v>291.60000000000014</v>
      </c>
      <c r="F17" s="11">
        <f t="shared" si="1"/>
        <v>243</v>
      </c>
      <c r="G17" s="22">
        <f t="shared" si="2"/>
        <v>1.2000000000000006</v>
      </c>
      <c r="J17" s="32" t="s">
        <v>139</v>
      </c>
      <c r="K17" s="11">
        <v>29.734923999999999</v>
      </c>
      <c r="L17" s="11">
        <f t="shared" si="3"/>
        <v>291.69960444000003</v>
      </c>
      <c r="M17" s="11">
        <f t="shared" si="4"/>
        <v>243</v>
      </c>
      <c r="N17" s="22">
        <f t="shared" si="0"/>
        <v>1.200409894814815</v>
      </c>
      <c r="Q17" s="32" t="s">
        <v>139</v>
      </c>
      <c r="R17" s="11">
        <v>291.60000000000002</v>
      </c>
      <c r="S17" s="11">
        <f t="shared" si="8"/>
        <v>72.900000000000034</v>
      </c>
      <c r="T17" s="11">
        <f t="shared" si="5"/>
        <v>243</v>
      </c>
      <c r="U17" s="22">
        <f t="shared" si="6"/>
        <v>0.30000000000000016</v>
      </c>
      <c r="W17" s="32" t="s">
        <v>14</v>
      </c>
      <c r="X17" s="11" t="s">
        <v>12</v>
      </c>
      <c r="Y17" s="32" t="s">
        <v>10</v>
      </c>
      <c r="Z17" s="14">
        <v>412.56</v>
      </c>
      <c r="AA17" s="11">
        <v>0</v>
      </c>
      <c r="AB17" s="11">
        <v>0</v>
      </c>
      <c r="AC17" s="11">
        <v>0</v>
      </c>
      <c r="AD17" s="11">
        <v>0</v>
      </c>
      <c r="AE17" s="11">
        <v>-5569.5020000000004</v>
      </c>
      <c r="AG17" s="32" t="s">
        <v>14</v>
      </c>
      <c r="AH17" s="11" t="s">
        <v>13</v>
      </c>
      <c r="AI17" s="32" t="s">
        <v>10</v>
      </c>
      <c r="AJ17" s="11">
        <v>0</v>
      </c>
      <c r="AK17" s="14">
        <v>226.76</v>
      </c>
      <c r="AL17" s="14">
        <v>0</v>
      </c>
      <c r="AM17" s="11">
        <v>0</v>
      </c>
      <c r="AN17" s="11">
        <v>0</v>
      </c>
      <c r="AO17" s="11">
        <v>7387.3490000000002</v>
      </c>
    </row>
    <row r="18" spans="3:41" ht="18" customHeight="1" x14ac:dyDescent="0.25">
      <c r="C18" s="32" t="s">
        <v>140</v>
      </c>
      <c r="D18" s="11">
        <v>1458</v>
      </c>
      <c r="E18" s="11">
        <f t="shared" si="7"/>
        <v>291.59999999999991</v>
      </c>
      <c r="F18" s="11">
        <f t="shared" si="1"/>
        <v>243</v>
      </c>
      <c r="G18" s="22">
        <f t="shared" si="2"/>
        <v>1.1999999999999997</v>
      </c>
      <c r="J18" s="32" t="s">
        <v>140</v>
      </c>
      <c r="K18" s="11">
        <v>29.734923999999999</v>
      </c>
      <c r="L18" s="11">
        <f t="shared" si="3"/>
        <v>291.69960444000003</v>
      </c>
      <c r="M18" s="11">
        <f t="shared" si="4"/>
        <v>243</v>
      </c>
      <c r="N18" s="22">
        <f t="shared" si="0"/>
        <v>1.200409894814815</v>
      </c>
      <c r="Q18" s="32" t="s">
        <v>140</v>
      </c>
      <c r="R18" s="11">
        <v>364.5</v>
      </c>
      <c r="S18" s="11">
        <f t="shared" si="8"/>
        <v>72.899999999999977</v>
      </c>
      <c r="T18" s="11">
        <f t="shared" si="5"/>
        <v>243</v>
      </c>
      <c r="U18" s="22">
        <f t="shared" si="6"/>
        <v>0.29999999999999993</v>
      </c>
    </row>
    <row r="19" spans="3:41" ht="18" customHeight="1" x14ac:dyDescent="0.25">
      <c r="C19" s="32" t="s">
        <v>141</v>
      </c>
      <c r="D19" s="11">
        <v>1749.6</v>
      </c>
      <c r="E19" s="11">
        <f t="shared" si="7"/>
        <v>291.59999999999991</v>
      </c>
      <c r="F19" s="11">
        <f t="shared" si="1"/>
        <v>243</v>
      </c>
      <c r="G19" s="22">
        <f t="shared" si="2"/>
        <v>1.1999999999999997</v>
      </c>
      <c r="J19" s="32" t="s">
        <v>141</v>
      </c>
      <c r="K19" s="11">
        <v>29.734923999999999</v>
      </c>
      <c r="L19" s="11">
        <f t="shared" si="3"/>
        <v>291.69960444000003</v>
      </c>
      <c r="M19" s="11">
        <f t="shared" si="4"/>
        <v>243</v>
      </c>
      <c r="N19" s="22">
        <f t="shared" si="0"/>
        <v>1.200409894814815</v>
      </c>
      <c r="Q19" s="32" t="s">
        <v>141</v>
      </c>
      <c r="R19" s="11">
        <v>437.4</v>
      </c>
      <c r="S19" s="11">
        <f t="shared" si="8"/>
        <v>72.899999999999977</v>
      </c>
      <c r="T19" s="11">
        <f t="shared" si="5"/>
        <v>243</v>
      </c>
      <c r="U19" s="22">
        <f t="shared" si="6"/>
        <v>0.29999999999999993</v>
      </c>
    </row>
    <row r="20" spans="3:41" ht="18" customHeight="1" x14ac:dyDescent="0.25">
      <c r="C20" s="32" t="s">
        <v>142</v>
      </c>
      <c r="D20" s="11">
        <v>2041.2</v>
      </c>
      <c r="E20" s="11">
        <f t="shared" si="7"/>
        <v>291.60000000000014</v>
      </c>
      <c r="F20" s="11">
        <f t="shared" si="1"/>
        <v>243</v>
      </c>
      <c r="G20" s="22">
        <f t="shared" si="2"/>
        <v>1.2000000000000006</v>
      </c>
      <c r="J20" s="32" t="s">
        <v>142</v>
      </c>
      <c r="K20" s="11">
        <v>29.734923999999999</v>
      </c>
      <c r="L20" s="11">
        <f t="shared" si="3"/>
        <v>291.69960444000003</v>
      </c>
      <c r="M20" s="11">
        <f t="shared" si="4"/>
        <v>243</v>
      </c>
      <c r="N20" s="22">
        <f t="shared" si="0"/>
        <v>1.200409894814815</v>
      </c>
      <c r="Q20" s="32" t="s">
        <v>142</v>
      </c>
      <c r="R20" s="11">
        <v>510.3</v>
      </c>
      <c r="S20" s="11">
        <f t="shared" si="8"/>
        <v>72.900000000000034</v>
      </c>
      <c r="T20" s="11">
        <f t="shared" si="5"/>
        <v>243</v>
      </c>
      <c r="U20" s="22">
        <f t="shared" si="6"/>
        <v>0.30000000000000016</v>
      </c>
    </row>
    <row r="21" spans="3:41" ht="18" customHeight="1" x14ac:dyDescent="0.25">
      <c r="C21" s="32" t="s">
        <v>143</v>
      </c>
      <c r="D21" s="11">
        <v>2332.8000000000002</v>
      </c>
      <c r="E21" s="11">
        <f t="shared" si="7"/>
        <v>291.60000000000014</v>
      </c>
      <c r="F21" s="11">
        <f t="shared" si="1"/>
        <v>243</v>
      </c>
      <c r="G21" s="22">
        <f t="shared" si="2"/>
        <v>1.2000000000000006</v>
      </c>
      <c r="J21" s="32" t="s">
        <v>143</v>
      </c>
      <c r="K21" s="11">
        <v>29.734923999999999</v>
      </c>
      <c r="L21" s="11">
        <f t="shared" si="3"/>
        <v>291.69960444000003</v>
      </c>
      <c r="M21" s="11">
        <f t="shared" si="4"/>
        <v>243</v>
      </c>
      <c r="N21" s="22">
        <f>IF((L21= "")+(M21=""),"",L21/M21)</f>
        <v>1.200409894814815</v>
      </c>
      <c r="Q21" s="32" t="s">
        <v>143</v>
      </c>
      <c r="R21" s="11">
        <v>583.20000000000005</v>
      </c>
      <c r="S21" s="11">
        <f t="shared" si="8"/>
        <v>72.900000000000034</v>
      </c>
      <c r="T21" s="11">
        <f t="shared" si="5"/>
        <v>243</v>
      </c>
      <c r="U21" s="22">
        <f t="shared" si="6"/>
        <v>0.30000000000000016</v>
      </c>
    </row>
    <row r="22" spans="3:41" ht="18" customHeight="1" x14ac:dyDescent="0.25">
      <c r="C22" s="32" t="s">
        <v>144</v>
      </c>
      <c r="D22" s="11">
        <v>2624.4</v>
      </c>
      <c r="E22" s="11">
        <f t="shared" si="7"/>
        <v>291.59999999999991</v>
      </c>
      <c r="F22" s="11">
        <f t="shared" si="1"/>
        <v>243</v>
      </c>
      <c r="G22" s="22">
        <f t="shared" si="2"/>
        <v>1.1999999999999997</v>
      </c>
      <c r="J22" s="32" t="s">
        <v>144</v>
      </c>
      <c r="K22" s="11">
        <v>29.734923999999999</v>
      </c>
      <c r="L22" s="11">
        <f t="shared" si="3"/>
        <v>291.69960444000003</v>
      </c>
      <c r="M22" s="11">
        <f t="shared" si="4"/>
        <v>243</v>
      </c>
      <c r="N22" s="22">
        <f t="shared" ref="N22:N85" si="9">IF((L22= "")+(M22=""),"",L22/M22)</f>
        <v>1.200409894814815</v>
      </c>
      <c r="Q22" s="32" t="s">
        <v>144</v>
      </c>
      <c r="R22" s="11">
        <v>656.1</v>
      </c>
      <c r="S22" s="11">
        <f t="shared" si="8"/>
        <v>72.899999999999977</v>
      </c>
      <c r="T22" s="11">
        <f t="shared" si="5"/>
        <v>243</v>
      </c>
      <c r="U22" s="22">
        <f t="shared" si="6"/>
        <v>0.29999999999999993</v>
      </c>
    </row>
    <row r="23" spans="3:41" ht="18" customHeight="1" x14ac:dyDescent="0.25">
      <c r="C23" s="32" t="s">
        <v>91</v>
      </c>
      <c r="D23" s="11">
        <v>2916</v>
      </c>
      <c r="E23" s="11">
        <f t="shared" si="7"/>
        <v>291.59999999999991</v>
      </c>
      <c r="F23" s="11">
        <f t="shared" si="1"/>
        <v>243</v>
      </c>
      <c r="G23" s="22">
        <f t="shared" si="2"/>
        <v>1.1999999999999997</v>
      </c>
      <c r="J23" s="32" t="s">
        <v>91</v>
      </c>
      <c r="K23" s="11">
        <v>29.734923999999999</v>
      </c>
      <c r="L23" s="11">
        <f t="shared" si="3"/>
        <v>291.69960444000003</v>
      </c>
      <c r="M23" s="11">
        <f t="shared" si="4"/>
        <v>243</v>
      </c>
      <c r="N23" s="22">
        <f t="shared" si="9"/>
        <v>1.200409894814815</v>
      </c>
      <c r="Q23" s="32" t="s">
        <v>91</v>
      </c>
      <c r="R23" s="11">
        <v>729</v>
      </c>
      <c r="S23" s="11">
        <f t="shared" si="8"/>
        <v>72.899999999999977</v>
      </c>
      <c r="T23" s="11">
        <f t="shared" si="5"/>
        <v>243</v>
      </c>
      <c r="U23" s="22">
        <f t="shared" si="6"/>
        <v>0.29999999999999993</v>
      </c>
    </row>
    <row r="24" spans="3:41" ht="18" customHeight="1" x14ac:dyDescent="0.25">
      <c r="C24" s="32" t="s">
        <v>17</v>
      </c>
      <c r="D24" s="11">
        <v>3207.6</v>
      </c>
      <c r="E24" s="11">
        <f t="shared" si="7"/>
        <v>291.59999999999991</v>
      </c>
      <c r="F24" s="11">
        <f t="shared" si="1"/>
        <v>243</v>
      </c>
      <c r="G24" s="22">
        <f t="shared" si="2"/>
        <v>1.1999999999999997</v>
      </c>
      <c r="J24" s="32" t="s">
        <v>17</v>
      </c>
      <c r="K24" s="11">
        <v>29.734923999999999</v>
      </c>
      <c r="L24" s="11">
        <f t="shared" si="3"/>
        <v>291.69960444000003</v>
      </c>
      <c r="M24" s="11">
        <f t="shared" si="4"/>
        <v>243</v>
      </c>
      <c r="N24" s="22">
        <f t="shared" si="9"/>
        <v>1.200409894814815</v>
      </c>
      <c r="Q24" s="32" t="s">
        <v>17</v>
      </c>
      <c r="R24" s="11">
        <v>801.9</v>
      </c>
      <c r="S24" s="11">
        <f t="shared" si="8"/>
        <v>72.899999999999977</v>
      </c>
      <c r="T24" s="11">
        <f t="shared" si="5"/>
        <v>243</v>
      </c>
      <c r="U24" s="22">
        <f t="shared" si="6"/>
        <v>0.29999999999999993</v>
      </c>
    </row>
    <row r="25" spans="3:41" ht="18" customHeight="1" x14ac:dyDescent="0.25">
      <c r="C25" s="32" t="s">
        <v>14</v>
      </c>
      <c r="D25" s="11">
        <v>3499.2</v>
      </c>
      <c r="E25" s="11">
        <f t="shared" ref="E25:E79" si="10">IF(D25-D24&gt;0,D25-D24,"")</f>
        <v>291.59999999999991</v>
      </c>
      <c r="F25" s="11">
        <f t="shared" si="1"/>
        <v>243</v>
      </c>
      <c r="G25" s="22">
        <f t="shared" si="2"/>
        <v>1.1999999999999997</v>
      </c>
      <c r="J25" s="32" t="s">
        <v>14</v>
      </c>
      <c r="K25" s="11">
        <v>29.734923999999999</v>
      </c>
      <c r="L25" s="11">
        <f t="shared" si="3"/>
        <v>291.69960444000003</v>
      </c>
      <c r="M25" s="11">
        <f t="shared" si="4"/>
        <v>243</v>
      </c>
      <c r="N25" s="22">
        <f t="shared" si="9"/>
        <v>1.200409894814815</v>
      </c>
      <c r="Q25" s="32" t="s">
        <v>14</v>
      </c>
      <c r="R25" s="11">
        <v>874.8</v>
      </c>
      <c r="S25" s="11">
        <f t="shared" si="8"/>
        <v>72.899999999999977</v>
      </c>
      <c r="T25" s="11">
        <f t="shared" si="5"/>
        <v>243</v>
      </c>
      <c r="U25" s="22">
        <f t="shared" si="6"/>
        <v>0.29999999999999993</v>
      </c>
    </row>
    <row r="26" spans="3:41" ht="18" customHeight="1" x14ac:dyDescent="0.25">
      <c r="C26" s="32" t="s">
        <v>55</v>
      </c>
      <c r="E26" s="11" t="str">
        <f t="shared" si="10"/>
        <v/>
      </c>
      <c r="F26" s="11" t="str">
        <f t="shared" si="1"/>
        <v/>
      </c>
      <c r="G26" s="22" t="str">
        <f t="shared" si="2"/>
        <v/>
      </c>
      <c r="J26" s="32" t="s">
        <v>55</v>
      </c>
      <c r="K26" s="11">
        <v>0</v>
      </c>
      <c r="L26" s="11" t="str">
        <f t="shared" si="3"/>
        <v/>
      </c>
      <c r="M26" s="11">
        <f t="shared" si="4"/>
        <v>243</v>
      </c>
      <c r="N26" s="22" t="str">
        <f t="shared" si="9"/>
        <v/>
      </c>
      <c r="Q26" s="32" t="s">
        <v>55</v>
      </c>
      <c r="S26" s="11" t="str">
        <f t="shared" si="8"/>
        <v/>
      </c>
      <c r="T26" s="11" t="str">
        <f t="shared" si="5"/>
        <v/>
      </c>
      <c r="U26" s="22" t="str">
        <f t="shared" si="6"/>
        <v/>
      </c>
    </row>
    <row r="27" spans="3:41" ht="18" customHeight="1" x14ac:dyDescent="0.25">
      <c r="C27" s="32" t="s">
        <v>56</v>
      </c>
      <c r="E27" s="11" t="str">
        <f t="shared" si="10"/>
        <v/>
      </c>
      <c r="F27" s="11" t="str">
        <f t="shared" si="1"/>
        <v/>
      </c>
      <c r="G27" s="22" t="str">
        <f t="shared" si="2"/>
        <v/>
      </c>
      <c r="J27" s="32" t="s">
        <v>56</v>
      </c>
      <c r="K27" s="11">
        <v>356.81909000000002</v>
      </c>
      <c r="L27" s="11">
        <f t="shared" si="3"/>
        <v>3500.3952729000002</v>
      </c>
      <c r="M27" s="11">
        <f t="shared" si="4"/>
        <v>243</v>
      </c>
      <c r="N27" s="22">
        <f t="shared" si="9"/>
        <v>14.404918818518519</v>
      </c>
      <c r="Q27" s="32" t="s">
        <v>56</v>
      </c>
      <c r="S27" s="11" t="str">
        <f t="shared" si="8"/>
        <v/>
      </c>
      <c r="T27" s="11" t="str">
        <f t="shared" si="5"/>
        <v/>
      </c>
      <c r="U27" s="22" t="str">
        <f t="shared" si="6"/>
        <v/>
      </c>
    </row>
    <row r="28" spans="3:41" ht="18" customHeight="1" x14ac:dyDescent="0.25">
      <c r="C28" s="32"/>
      <c r="E28" s="11" t="str">
        <f t="shared" si="10"/>
        <v/>
      </c>
      <c r="F28" s="11" t="str">
        <f t="shared" si="1"/>
        <v/>
      </c>
      <c r="G28" s="22" t="str">
        <f t="shared" si="2"/>
        <v/>
      </c>
      <c r="J28" s="32"/>
      <c r="L28" s="11" t="str">
        <f t="shared" si="3"/>
        <v/>
      </c>
      <c r="M28" s="11" t="str">
        <f t="shared" si="4"/>
        <v/>
      </c>
      <c r="N28" s="22" t="str">
        <f t="shared" si="9"/>
        <v/>
      </c>
      <c r="Q28" s="32"/>
      <c r="S28" s="11" t="str">
        <f t="shared" ref="S28:S79" si="11">IF(R28-R27&gt;0,R28-R27,"")</f>
        <v/>
      </c>
      <c r="T28" s="11" t="str">
        <f t="shared" si="5"/>
        <v/>
      </c>
      <c r="U28" s="22" t="str">
        <f t="shared" si="6"/>
        <v/>
      </c>
    </row>
    <row r="29" spans="3:41" ht="18" customHeight="1" x14ac:dyDescent="0.25">
      <c r="C29" s="32"/>
      <c r="E29" s="11" t="str">
        <f t="shared" si="10"/>
        <v/>
      </c>
      <c r="F29" s="11" t="str">
        <f t="shared" si="1"/>
        <v/>
      </c>
      <c r="G29" s="22" t="str">
        <f t="shared" si="2"/>
        <v/>
      </c>
      <c r="J29" s="32"/>
      <c r="L29" s="11" t="str">
        <f t="shared" ref="L29:L85" si="12">IF(K29&gt;0,K29*9.81,"")</f>
        <v/>
      </c>
      <c r="M29" s="11" t="str">
        <f t="shared" si="4"/>
        <v/>
      </c>
      <c r="N29" s="22" t="str">
        <f t="shared" si="9"/>
        <v/>
      </c>
      <c r="Q29" s="32"/>
      <c r="S29" s="11" t="str">
        <f t="shared" si="11"/>
        <v/>
      </c>
      <c r="T29" s="11" t="str">
        <f t="shared" si="5"/>
        <v/>
      </c>
      <c r="U29" s="22" t="str">
        <f t="shared" si="6"/>
        <v/>
      </c>
    </row>
    <row r="30" spans="3:41" ht="18" customHeight="1" x14ac:dyDescent="0.25">
      <c r="C30" s="32"/>
      <c r="E30" s="11" t="str">
        <f t="shared" si="10"/>
        <v/>
      </c>
      <c r="F30" s="11" t="str">
        <f t="shared" si="1"/>
        <v/>
      </c>
      <c r="G30" s="22" t="str">
        <f t="shared" si="2"/>
        <v/>
      </c>
      <c r="J30" s="32"/>
      <c r="L30" s="11" t="str">
        <f t="shared" si="12"/>
        <v/>
      </c>
      <c r="M30" s="11" t="str">
        <f t="shared" si="4"/>
        <v/>
      </c>
      <c r="N30" s="22" t="str">
        <f t="shared" si="9"/>
        <v/>
      </c>
      <c r="Q30" s="32"/>
      <c r="S30" s="11" t="str">
        <f t="shared" si="11"/>
        <v/>
      </c>
      <c r="T30" s="11" t="str">
        <f t="shared" si="5"/>
        <v/>
      </c>
      <c r="U30" s="22" t="str">
        <f t="shared" si="6"/>
        <v/>
      </c>
    </row>
    <row r="31" spans="3:41" ht="18" customHeight="1" x14ac:dyDescent="0.25">
      <c r="C31" s="32"/>
      <c r="E31" s="11" t="str">
        <f t="shared" si="10"/>
        <v/>
      </c>
      <c r="F31" s="11" t="str">
        <f t="shared" si="1"/>
        <v/>
      </c>
      <c r="G31" s="22" t="str">
        <f t="shared" si="2"/>
        <v/>
      </c>
      <c r="J31" s="32"/>
      <c r="L31" s="11" t="str">
        <f t="shared" si="12"/>
        <v/>
      </c>
      <c r="M31" s="11" t="str">
        <f t="shared" si="4"/>
        <v/>
      </c>
      <c r="N31" s="22" t="str">
        <f t="shared" si="9"/>
        <v/>
      </c>
      <c r="Q31" s="32"/>
      <c r="S31" s="11" t="str">
        <f t="shared" si="11"/>
        <v/>
      </c>
      <c r="T31" s="11" t="str">
        <f t="shared" si="5"/>
        <v/>
      </c>
      <c r="U31" s="22" t="str">
        <f t="shared" si="6"/>
        <v/>
      </c>
    </row>
    <row r="32" spans="3:41" ht="18" customHeight="1" x14ac:dyDescent="0.25">
      <c r="C32" s="32"/>
      <c r="E32" s="11" t="str">
        <f t="shared" si="10"/>
        <v/>
      </c>
      <c r="F32" s="11" t="str">
        <f t="shared" si="1"/>
        <v/>
      </c>
      <c r="G32" s="22" t="str">
        <f t="shared" si="2"/>
        <v/>
      </c>
      <c r="J32" s="32"/>
      <c r="L32" s="11" t="str">
        <f t="shared" si="12"/>
        <v/>
      </c>
      <c r="M32" s="11" t="str">
        <f t="shared" si="4"/>
        <v/>
      </c>
      <c r="N32" s="22" t="str">
        <f t="shared" si="9"/>
        <v/>
      </c>
      <c r="Q32" s="32"/>
      <c r="S32" s="11" t="str">
        <f t="shared" si="11"/>
        <v/>
      </c>
      <c r="T32" s="11" t="str">
        <f t="shared" si="5"/>
        <v/>
      </c>
      <c r="U32" s="22" t="str">
        <f t="shared" si="6"/>
        <v/>
      </c>
    </row>
    <row r="33" spans="3:21" ht="18" customHeight="1" x14ac:dyDescent="0.25">
      <c r="C33" s="32"/>
      <c r="E33" s="11" t="str">
        <f t="shared" si="10"/>
        <v/>
      </c>
      <c r="F33" s="11" t="str">
        <f t="shared" si="1"/>
        <v/>
      </c>
      <c r="G33" s="22" t="str">
        <f t="shared" si="2"/>
        <v/>
      </c>
      <c r="J33" s="32"/>
      <c r="L33" s="11" t="str">
        <f t="shared" si="12"/>
        <v/>
      </c>
      <c r="M33" s="11" t="str">
        <f t="shared" si="4"/>
        <v/>
      </c>
      <c r="N33" s="22" t="str">
        <f t="shared" si="9"/>
        <v/>
      </c>
      <c r="Q33" s="32"/>
      <c r="S33" s="11" t="str">
        <f t="shared" si="11"/>
        <v/>
      </c>
      <c r="T33" s="11" t="str">
        <f t="shared" si="5"/>
        <v/>
      </c>
      <c r="U33" s="22" t="str">
        <f t="shared" si="6"/>
        <v/>
      </c>
    </row>
    <row r="34" spans="3:21" ht="18" customHeight="1" x14ac:dyDescent="0.25">
      <c r="C34" s="32"/>
      <c r="E34" s="11" t="str">
        <f t="shared" si="10"/>
        <v/>
      </c>
      <c r="F34" s="11" t="str">
        <f t="shared" si="1"/>
        <v/>
      </c>
      <c r="G34" s="22" t="str">
        <f t="shared" si="2"/>
        <v/>
      </c>
      <c r="J34" s="32"/>
      <c r="L34" s="11" t="str">
        <f t="shared" si="12"/>
        <v/>
      </c>
      <c r="M34" s="11" t="str">
        <f t="shared" si="4"/>
        <v/>
      </c>
      <c r="N34" s="22" t="str">
        <f t="shared" si="9"/>
        <v/>
      </c>
      <c r="Q34" s="32"/>
      <c r="S34" s="11" t="str">
        <f t="shared" si="11"/>
        <v/>
      </c>
      <c r="T34" s="11" t="str">
        <f t="shared" si="5"/>
        <v/>
      </c>
      <c r="U34" s="22" t="str">
        <f t="shared" si="6"/>
        <v/>
      </c>
    </row>
    <row r="35" spans="3:21" ht="18" customHeight="1" x14ac:dyDescent="0.25">
      <c r="C35" s="32"/>
      <c r="E35" s="11" t="str">
        <f t="shared" si="10"/>
        <v/>
      </c>
      <c r="F35" s="11" t="str">
        <f t="shared" si="1"/>
        <v/>
      </c>
      <c r="G35" s="22" t="str">
        <f t="shared" si="2"/>
        <v/>
      </c>
      <c r="J35" s="32"/>
      <c r="L35" s="11" t="str">
        <f t="shared" si="12"/>
        <v/>
      </c>
      <c r="M35" s="11" t="str">
        <f t="shared" si="4"/>
        <v/>
      </c>
      <c r="N35" s="22" t="str">
        <f t="shared" si="9"/>
        <v/>
      </c>
      <c r="Q35" s="32"/>
      <c r="S35" s="11" t="str">
        <f t="shared" si="11"/>
        <v/>
      </c>
      <c r="T35" s="11" t="str">
        <f t="shared" si="5"/>
        <v/>
      </c>
      <c r="U35" s="22" t="str">
        <f t="shared" si="6"/>
        <v/>
      </c>
    </row>
    <row r="36" spans="3:21" ht="18" customHeight="1" x14ac:dyDescent="0.25">
      <c r="C36" s="32"/>
      <c r="E36" s="11" t="str">
        <f t="shared" si="10"/>
        <v/>
      </c>
      <c r="F36" s="11" t="str">
        <f t="shared" si="1"/>
        <v/>
      </c>
      <c r="G36" s="22" t="str">
        <f t="shared" si="2"/>
        <v/>
      </c>
      <c r="J36" s="32"/>
      <c r="L36" s="11" t="str">
        <f t="shared" si="12"/>
        <v/>
      </c>
      <c r="M36" s="11" t="str">
        <f t="shared" si="4"/>
        <v/>
      </c>
      <c r="N36" s="22" t="str">
        <f t="shared" si="9"/>
        <v/>
      </c>
      <c r="Q36" s="32"/>
      <c r="S36" s="11" t="str">
        <f t="shared" si="11"/>
        <v/>
      </c>
      <c r="T36" s="11" t="str">
        <f t="shared" si="5"/>
        <v/>
      </c>
      <c r="U36" s="22" t="str">
        <f t="shared" si="6"/>
        <v/>
      </c>
    </row>
    <row r="37" spans="3:21" ht="18" customHeight="1" x14ac:dyDescent="0.25">
      <c r="C37" s="32"/>
      <c r="E37" s="11" t="str">
        <f t="shared" si="10"/>
        <v/>
      </c>
      <c r="F37" s="11" t="str">
        <f t="shared" si="1"/>
        <v/>
      </c>
      <c r="G37" s="22" t="str">
        <f t="shared" si="2"/>
        <v/>
      </c>
      <c r="J37" s="32"/>
      <c r="L37" s="11" t="str">
        <f t="shared" si="12"/>
        <v/>
      </c>
      <c r="M37" s="11" t="str">
        <f t="shared" si="4"/>
        <v/>
      </c>
      <c r="N37" s="22" t="str">
        <f t="shared" si="9"/>
        <v/>
      </c>
      <c r="Q37" s="32"/>
      <c r="S37" s="11" t="str">
        <f t="shared" si="11"/>
        <v/>
      </c>
      <c r="T37" s="11" t="str">
        <f t="shared" si="5"/>
        <v/>
      </c>
      <c r="U37" s="22" t="str">
        <f t="shared" si="6"/>
        <v/>
      </c>
    </row>
    <row r="38" spans="3:21" ht="18" customHeight="1" x14ac:dyDescent="0.25">
      <c r="C38" s="32"/>
      <c r="E38" s="11" t="str">
        <f t="shared" si="10"/>
        <v/>
      </c>
      <c r="F38" s="11" t="str">
        <f t="shared" si="1"/>
        <v/>
      </c>
      <c r="G38" s="22" t="str">
        <f t="shared" si="2"/>
        <v/>
      </c>
      <c r="J38" s="32"/>
      <c r="L38" s="11" t="str">
        <f t="shared" si="12"/>
        <v/>
      </c>
      <c r="M38" s="11" t="str">
        <f t="shared" si="4"/>
        <v/>
      </c>
      <c r="N38" s="22" t="str">
        <f t="shared" si="9"/>
        <v/>
      </c>
      <c r="Q38" s="32"/>
      <c r="S38" s="11" t="str">
        <f t="shared" si="11"/>
        <v/>
      </c>
      <c r="T38" s="11" t="str">
        <f t="shared" si="5"/>
        <v/>
      </c>
      <c r="U38" s="22" t="str">
        <f t="shared" si="6"/>
        <v/>
      </c>
    </row>
    <row r="39" spans="3:21" ht="18" customHeight="1" x14ac:dyDescent="0.25">
      <c r="C39" s="32"/>
      <c r="E39" s="11" t="str">
        <f t="shared" si="10"/>
        <v/>
      </c>
      <c r="F39" s="11" t="str">
        <f t="shared" si="1"/>
        <v/>
      </c>
      <c r="G39" s="22" t="str">
        <f t="shared" si="2"/>
        <v/>
      </c>
      <c r="J39" s="32"/>
      <c r="L39" s="11" t="str">
        <f t="shared" si="12"/>
        <v/>
      </c>
      <c r="M39" s="11" t="str">
        <f t="shared" si="4"/>
        <v/>
      </c>
      <c r="N39" s="22" t="str">
        <f t="shared" si="9"/>
        <v/>
      </c>
      <c r="Q39" s="32"/>
      <c r="S39" s="11" t="str">
        <f t="shared" si="11"/>
        <v/>
      </c>
      <c r="T39" s="11" t="str">
        <f t="shared" si="5"/>
        <v/>
      </c>
      <c r="U39" s="22" t="str">
        <f t="shared" si="6"/>
        <v/>
      </c>
    </row>
    <row r="40" spans="3:21" ht="18" customHeight="1" x14ac:dyDescent="0.25">
      <c r="C40" s="32"/>
      <c r="E40" s="11" t="str">
        <f t="shared" si="10"/>
        <v/>
      </c>
      <c r="F40" s="11" t="str">
        <f t="shared" si="1"/>
        <v/>
      </c>
      <c r="G40" s="22" t="str">
        <f t="shared" si="2"/>
        <v/>
      </c>
      <c r="J40" s="32"/>
      <c r="L40" s="11" t="str">
        <f t="shared" si="12"/>
        <v/>
      </c>
      <c r="M40" s="11" t="str">
        <f t="shared" si="4"/>
        <v/>
      </c>
      <c r="N40" s="22" t="str">
        <f t="shared" si="9"/>
        <v/>
      </c>
      <c r="Q40" s="32"/>
      <c r="S40" s="11" t="str">
        <f t="shared" si="11"/>
        <v/>
      </c>
      <c r="T40" s="11" t="str">
        <f t="shared" si="5"/>
        <v/>
      </c>
      <c r="U40" s="22" t="str">
        <f t="shared" si="6"/>
        <v/>
      </c>
    </row>
    <row r="41" spans="3:21" ht="18" customHeight="1" x14ac:dyDescent="0.25">
      <c r="C41" s="32"/>
      <c r="E41" s="11" t="str">
        <f t="shared" si="10"/>
        <v/>
      </c>
      <c r="F41" s="11" t="str">
        <f t="shared" si="1"/>
        <v/>
      </c>
      <c r="G41" s="22" t="str">
        <f t="shared" si="2"/>
        <v/>
      </c>
      <c r="J41" s="32"/>
      <c r="L41" s="11" t="str">
        <f t="shared" si="12"/>
        <v/>
      </c>
      <c r="M41" s="11" t="str">
        <f t="shared" si="4"/>
        <v/>
      </c>
      <c r="N41" s="22" t="str">
        <f t="shared" si="9"/>
        <v/>
      </c>
      <c r="Q41" s="32"/>
      <c r="S41" s="11" t="str">
        <f t="shared" si="11"/>
        <v/>
      </c>
      <c r="T41" s="11" t="str">
        <f t="shared" si="5"/>
        <v/>
      </c>
      <c r="U41" s="22" t="str">
        <f t="shared" si="6"/>
        <v/>
      </c>
    </row>
    <row r="42" spans="3:21" ht="18" customHeight="1" x14ac:dyDescent="0.25">
      <c r="C42" s="32"/>
      <c r="E42" s="11" t="str">
        <f t="shared" si="10"/>
        <v/>
      </c>
      <c r="F42" s="11" t="str">
        <f t="shared" si="1"/>
        <v/>
      </c>
      <c r="G42" s="22" t="str">
        <f t="shared" si="2"/>
        <v/>
      </c>
      <c r="J42" s="32"/>
      <c r="L42" s="11" t="str">
        <f t="shared" si="12"/>
        <v/>
      </c>
      <c r="M42" s="11" t="str">
        <f t="shared" si="4"/>
        <v/>
      </c>
      <c r="N42" s="22" t="str">
        <f t="shared" si="9"/>
        <v/>
      </c>
      <c r="Q42" s="32"/>
      <c r="S42" s="11" t="str">
        <f t="shared" si="11"/>
        <v/>
      </c>
      <c r="T42" s="11" t="str">
        <f t="shared" si="5"/>
        <v/>
      </c>
      <c r="U42" s="22" t="str">
        <f t="shared" si="6"/>
        <v/>
      </c>
    </row>
    <row r="43" spans="3:21" ht="18" customHeight="1" x14ac:dyDescent="0.25">
      <c r="C43" s="32"/>
      <c r="E43" s="11" t="str">
        <f t="shared" si="10"/>
        <v/>
      </c>
      <c r="F43" s="11" t="str">
        <f t="shared" si="1"/>
        <v/>
      </c>
      <c r="G43" s="22" t="str">
        <f t="shared" si="2"/>
        <v/>
      </c>
      <c r="J43" s="32"/>
      <c r="L43" s="11" t="str">
        <f t="shared" si="12"/>
        <v/>
      </c>
      <c r="M43" s="11" t="str">
        <f t="shared" si="4"/>
        <v/>
      </c>
      <c r="N43" s="22" t="str">
        <f t="shared" si="9"/>
        <v/>
      </c>
      <c r="Q43" s="32"/>
      <c r="S43" s="11" t="str">
        <f t="shared" si="11"/>
        <v/>
      </c>
      <c r="T43" s="11" t="str">
        <f t="shared" si="5"/>
        <v/>
      </c>
      <c r="U43" s="22" t="str">
        <f t="shared" si="6"/>
        <v/>
      </c>
    </row>
    <row r="44" spans="3:21" ht="18" customHeight="1" x14ac:dyDescent="0.25">
      <c r="C44" s="32"/>
      <c r="E44" s="11" t="str">
        <f t="shared" si="10"/>
        <v/>
      </c>
      <c r="F44" s="11" t="str">
        <f t="shared" si="1"/>
        <v/>
      </c>
      <c r="G44" s="22" t="str">
        <f t="shared" si="2"/>
        <v/>
      </c>
      <c r="J44" s="32"/>
      <c r="L44" s="11" t="str">
        <f t="shared" si="12"/>
        <v/>
      </c>
      <c r="M44" s="11" t="str">
        <f t="shared" si="4"/>
        <v/>
      </c>
      <c r="N44" s="22" t="str">
        <f t="shared" si="9"/>
        <v/>
      </c>
      <c r="Q44" s="32"/>
      <c r="S44" s="11" t="str">
        <f t="shared" si="11"/>
        <v/>
      </c>
      <c r="T44" s="11" t="str">
        <f t="shared" si="5"/>
        <v/>
      </c>
      <c r="U44" s="22" t="str">
        <f t="shared" si="6"/>
        <v/>
      </c>
    </row>
    <row r="45" spans="3:21" ht="18" customHeight="1" x14ac:dyDescent="0.25">
      <c r="C45" s="32"/>
      <c r="E45" s="11" t="str">
        <f t="shared" si="10"/>
        <v/>
      </c>
      <c r="F45" s="11" t="str">
        <f t="shared" si="1"/>
        <v/>
      </c>
      <c r="G45" s="22" t="str">
        <f t="shared" si="2"/>
        <v/>
      </c>
      <c r="J45" s="32"/>
      <c r="L45" s="11" t="str">
        <f t="shared" si="12"/>
        <v/>
      </c>
      <c r="M45" s="11" t="str">
        <f t="shared" si="4"/>
        <v/>
      </c>
      <c r="N45" s="22" t="str">
        <f t="shared" si="9"/>
        <v/>
      </c>
      <c r="Q45" s="32"/>
      <c r="S45" s="11" t="str">
        <f t="shared" si="11"/>
        <v/>
      </c>
      <c r="T45" s="11" t="str">
        <f t="shared" si="5"/>
        <v/>
      </c>
      <c r="U45" s="22" t="str">
        <f t="shared" si="6"/>
        <v/>
      </c>
    </row>
    <row r="46" spans="3:21" ht="18" customHeight="1" x14ac:dyDescent="0.25">
      <c r="C46" s="32"/>
      <c r="E46" s="11" t="str">
        <f t="shared" si="10"/>
        <v/>
      </c>
      <c r="F46" s="11" t="str">
        <f t="shared" si="1"/>
        <v/>
      </c>
      <c r="G46" s="22" t="str">
        <f t="shared" si="2"/>
        <v/>
      </c>
      <c r="J46" s="32"/>
      <c r="L46" s="11" t="str">
        <f t="shared" si="12"/>
        <v/>
      </c>
      <c r="M46" s="11" t="str">
        <f t="shared" si="4"/>
        <v/>
      </c>
      <c r="N46" s="22" t="str">
        <f t="shared" si="9"/>
        <v/>
      </c>
      <c r="Q46" s="32"/>
      <c r="S46" s="11" t="str">
        <f t="shared" si="11"/>
        <v/>
      </c>
      <c r="T46" s="11" t="str">
        <f t="shared" si="5"/>
        <v/>
      </c>
      <c r="U46" s="22" t="str">
        <f t="shared" si="6"/>
        <v/>
      </c>
    </row>
    <row r="47" spans="3:21" ht="18" customHeight="1" x14ac:dyDescent="0.25">
      <c r="C47" s="32"/>
      <c r="E47" s="11" t="str">
        <f t="shared" si="10"/>
        <v/>
      </c>
      <c r="F47" s="11" t="str">
        <f t="shared" si="1"/>
        <v/>
      </c>
      <c r="G47" s="22" t="str">
        <f t="shared" si="2"/>
        <v/>
      </c>
      <c r="J47" s="32"/>
      <c r="L47" s="11" t="str">
        <f t="shared" si="12"/>
        <v/>
      </c>
      <c r="M47" s="11" t="str">
        <f t="shared" si="4"/>
        <v/>
      </c>
      <c r="N47" s="22" t="str">
        <f t="shared" si="9"/>
        <v/>
      </c>
      <c r="Q47" s="32"/>
      <c r="S47" s="11" t="str">
        <f t="shared" si="11"/>
        <v/>
      </c>
      <c r="T47" s="11" t="str">
        <f t="shared" si="5"/>
        <v/>
      </c>
      <c r="U47" s="22" t="str">
        <f t="shared" si="6"/>
        <v/>
      </c>
    </row>
    <row r="48" spans="3:21" ht="18" customHeight="1" x14ac:dyDescent="0.25">
      <c r="C48" s="32"/>
      <c r="E48" s="11" t="str">
        <f t="shared" si="10"/>
        <v/>
      </c>
      <c r="F48" s="11" t="str">
        <f t="shared" si="1"/>
        <v/>
      </c>
      <c r="G48" s="22" t="str">
        <f t="shared" si="2"/>
        <v/>
      </c>
      <c r="J48" s="32"/>
      <c r="L48" s="11" t="str">
        <f t="shared" si="12"/>
        <v/>
      </c>
      <c r="M48" s="11" t="str">
        <f t="shared" si="4"/>
        <v/>
      </c>
      <c r="N48" s="22" t="str">
        <f t="shared" si="9"/>
        <v/>
      </c>
      <c r="Q48" s="32"/>
      <c r="S48" s="11" t="str">
        <f t="shared" si="11"/>
        <v/>
      </c>
      <c r="T48" s="11" t="str">
        <f t="shared" si="5"/>
        <v/>
      </c>
      <c r="U48" s="22" t="str">
        <f t="shared" si="6"/>
        <v/>
      </c>
    </row>
    <row r="49" spans="3:21" ht="18" customHeight="1" x14ac:dyDescent="0.25">
      <c r="C49" s="32"/>
      <c r="E49" s="11" t="str">
        <f t="shared" si="10"/>
        <v/>
      </c>
      <c r="F49" s="11" t="str">
        <f t="shared" si="1"/>
        <v/>
      </c>
      <c r="G49" s="22" t="str">
        <f t="shared" si="2"/>
        <v/>
      </c>
      <c r="J49" s="32"/>
      <c r="L49" s="11" t="str">
        <f t="shared" si="12"/>
        <v/>
      </c>
      <c r="M49" s="11" t="str">
        <f t="shared" si="4"/>
        <v/>
      </c>
      <c r="N49" s="22" t="str">
        <f t="shared" si="9"/>
        <v/>
      </c>
      <c r="Q49" s="32"/>
      <c r="S49" s="11" t="str">
        <f t="shared" si="11"/>
        <v/>
      </c>
      <c r="T49" s="11" t="str">
        <f t="shared" si="5"/>
        <v/>
      </c>
      <c r="U49" s="22" t="str">
        <f t="shared" si="6"/>
        <v/>
      </c>
    </row>
    <row r="50" spans="3:21" ht="18" customHeight="1" x14ac:dyDescent="0.25">
      <c r="C50" s="32"/>
      <c r="E50" s="11" t="str">
        <f t="shared" si="10"/>
        <v/>
      </c>
      <c r="F50" s="11" t="str">
        <f t="shared" si="1"/>
        <v/>
      </c>
      <c r="G50" s="22" t="str">
        <f t="shared" si="2"/>
        <v/>
      </c>
      <c r="J50" s="32"/>
      <c r="L50" s="11" t="str">
        <f t="shared" si="12"/>
        <v/>
      </c>
      <c r="M50" s="11" t="str">
        <f t="shared" si="4"/>
        <v/>
      </c>
      <c r="N50" s="22" t="str">
        <f t="shared" si="9"/>
        <v/>
      </c>
      <c r="Q50" s="32"/>
      <c r="S50" s="11" t="str">
        <f t="shared" si="11"/>
        <v/>
      </c>
      <c r="T50" s="11" t="str">
        <f t="shared" si="5"/>
        <v/>
      </c>
      <c r="U50" s="22" t="str">
        <f t="shared" si="6"/>
        <v/>
      </c>
    </row>
    <row r="51" spans="3:21" ht="18" customHeight="1" x14ac:dyDescent="0.25">
      <c r="C51" s="32"/>
      <c r="E51" s="11" t="str">
        <f t="shared" si="10"/>
        <v/>
      </c>
      <c r="F51" s="11" t="str">
        <f t="shared" si="1"/>
        <v/>
      </c>
      <c r="G51" s="22" t="str">
        <f t="shared" si="2"/>
        <v/>
      </c>
      <c r="J51" s="32"/>
      <c r="L51" s="11" t="str">
        <f t="shared" si="12"/>
        <v/>
      </c>
      <c r="M51" s="11" t="str">
        <f t="shared" si="4"/>
        <v/>
      </c>
      <c r="N51" s="22" t="str">
        <f t="shared" si="9"/>
        <v/>
      </c>
      <c r="Q51" s="32"/>
      <c r="S51" s="11" t="str">
        <f t="shared" si="11"/>
        <v/>
      </c>
      <c r="T51" s="11" t="str">
        <f t="shared" si="5"/>
        <v/>
      </c>
      <c r="U51" s="22" t="str">
        <f t="shared" si="6"/>
        <v/>
      </c>
    </row>
    <row r="52" spans="3:21" ht="18" customHeight="1" x14ac:dyDescent="0.25">
      <c r="C52" s="32"/>
      <c r="E52" s="11" t="str">
        <f t="shared" si="10"/>
        <v/>
      </c>
      <c r="F52" s="11" t="str">
        <f t="shared" si="1"/>
        <v/>
      </c>
      <c r="G52" s="22" t="str">
        <f t="shared" si="2"/>
        <v/>
      </c>
      <c r="J52" s="32"/>
      <c r="L52" s="11" t="str">
        <f t="shared" si="12"/>
        <v/>
      </c>
      <c r="M52" s="11" t="str">
        <f t="shared" si="4"/>
        <v/>
      </c>
      <c r="N52" s="22" t="str">
        <f t="shared" si="9"/>
        <v/>
      </c>
      <c r="Q52" s="32"/>
      <c r="S52" s="11" t="str">
        <f t="shared" si="11"/>
        <v/>
      </c>
      <c r="T52" s="11" t="str">
        <f t="shared" si="5"/>
        <v/>
      </c>
      <c r="U52" s="22" t="str">
        <f t="shared" si="6"/>
        <v/>
      </c>
    </row>
    <row r="53" spans="3:21" ht="18" customHeight="1" x14ac:dyDescent="0.25">
      <c r="C53" s="32"/>
      <c r="E53" s="11" t="str">
        <f t="shared" si="10"/>
        <v/>
      </c>
      <c r="F53" s="11" t="str">
        <f t="shared" si="1"/>
        <v/>
      </c>
      <c r="G53" s="22" t="str">
        <f t="shared" si="2"/>
        <v/>
      </c>
      <c r="J53" s="32"/>
      <c r="L53" s="11" t="str">
        <f t="shared" si="12"/>
        <v/>
      </c>
      <c r="M53" s="11" t="str">
        <f t="shared" si="4"/>
        <v/>
      </c>
      <c r="N53" s="22" t="str">
        <f t="shared" si="9"/>
        <v/>
      </c>
      <c r="Q53" s="32"/>
      <c r="S53" s="11" t="str">
        <f t="shared" si="11"/>
        <v/>
      </c>
      <c r="T53" s="11" t="str">
        <f t="shared" si="5"/>
        <v/>
      </c>
      <c r="U53" s="22" t="str">
        <f t="shared" si="6"/>
        <v/>
      </c>
    </row>
    <row r="54" spans="3:21" ht="18" customHeight="1" x14ac:dyDescent="0.25">
      <c r="C54" s="32"/>
      <c r="E54" s="11" t="str">
        <f t="shared" si="10"/>
        <v/>
      </c>
      <c r="F54" s="11" t="str">
        <f t="shared" si="1"/>
        <v/>
      </c>
      <c r="G54" s="22" t="str">
        <f t="shared" si="2"/>
        <v/>
      </c>
      <c r="J54" s="32"/>
      <c r="L54" s="11" t="str">
        <f t="shared" si="12"/>
        <v/>
      </c>
      <c r="M54" s="11" t="str">
        <f t="shared" si="4"/>
        <v/>
      </c>
      <c r="N54" s="22" t="str">
        <f t="shared" si="9"/>
        <v/>
      </c>
      <c r="Q54" s="32"/>
      <c r="S54" s="11" t="str">
        <f t="shared" si="11"/>
        <v/>
      </c>
      <c r="T54" s="11" t="str">
        <f t="shared" si="5"/>
        <v/>
      </c>
      <c r="U54" s="22" t="str">
        <f t="shared" si="6"/>
        <v/>
      </c>
    </row>
    <row r="55" spans="3:21" ht="18" customHeight="1" x14ac:dyDescent="0.25">
      <c r="C55" s="32"/>
      <c r="E55" s="11" t="str">
        <f t="shared" si="10"/>
        <v/>
      </c>
      <c r="F55" s="11" t="str">
        <f t="shared" si="1"/>
        <v/>
      </c>
      <c r="G55" s="22" t="str">
        <f t="shared" si="2"/>
        <v/>
      </c>
      <c r="J55" s="32"/>
      <c r="L55" s="11" t="str">
        <f t="shared" si="12"/>
        <v/>
      </c>
      <c r="M55" s="11" t="str">
        <f t="shared" si="4"/>
        <v/>
      </c>
      <c r="N55" s="22" t="str">
        <f t="shared" si="9"/>
        <v/>
      </c>
      <c r="Q55" s="32"/>
      <c r="S55" s="11" t="str">
        <f t="shared" si="11"/>
        <v/>
      </c>
      <c r="T55" s="11" t="str">
        <f t="shared" si="5"/>
        <v/>
      </c>
      <c r="U55" s="22" t="str">
        <f t="shared" si="6"/>
        <v/>
      </c>
    </row>
    <row r="56" spans="3:21" ht="18" customHeight="1" x14ac:dyDescent="0.25">
      <c r="C56" s="32"/>
      <c r="E56" s="11" t="str">
        <f t="shared" si="10"/>
        <v/>
      </c>
      <c r="F56" s="11" t="str">
        <f t="shared" si="1"/>
        <v/>
      </c>
      <c r="G56" s="22" t="str">
        <f t="shared" si="2"/>
        <v/>
      </c>
      <c r="J56" s="32"/>
      <c r="L56" s="11" t="str">
        <f t="shared" si="12"/>
        <v/>
      </c>
      <c r="M56" s="11" t="str">
        <f t="shared" si="4"/>
        <v/>
      </c>
      <c r="N56" s="22" t="str">
        <f t="shared" si="9"/>
        <v/>
      </c>
      <c r="Q56" s="32"/>
      <c r="S56" s="11" t="str">
        <f t="shared" si="11"/>
        <v/>
      </c>
      <c r="T56" s="11" t="str">
        <f t="shared" si="5"/>
        <v/>
      </c>
      <c r="U56" s="22" t="str">
        <f t="shared" si="6"/>
        <v/>
      </c>
    </row>
    <row r="57" spans="3:21" ht="18" customHeight="1" x14ac:dyDescent="0.25">
      <c r="C57" s="32"/>
      <c r="E57" s="11" t="str">
        <f t="shared" si="10"/>
        <v/>
      </c>
      <c r="F57" s="11" t="str">
        <f t="shared" si="1"/>
        <v/>
      </c>
      <c r="G57" s="22" t="str">
        <f t="shared" si="2"/>
        <v/>
      </c>
      <c r="J57" s="32"/>
      <c r="L57" s="11" t="str">
        <f t="shared" si="12"/>
        <v/>
      </c>
      <c r="M57" s="11" t="str">
        <f t="shared" si="4"/>
        <v/>
      </c>
      <c r="N57" s="22" t="str">
        <f t="shared" si="9"/>
        <v/>
      </c>
      <c r="Q57" s="32"/>
      <c r="S57" s="11" t="str">
        <f t="shared" si="11"/>
        <v/>
      </c>
      <c r="T57" s="11" t="str">
        <f t="shared" si="5"/>
        <v/>
      </c>
      <c r="U57" s="22" t="str">
        <f t="shared" si="6"/>
        <v/>
      </c>
    </row>
    <row r="58" spans="3:21" ht="18" customHeight="1" x14ac:dyDescent="0.25">
      <c r="C58" s="32"/>
      <c r="E58" s="11" t="str">
        <f t="shared" si="10"/>
        <v/>
      </c>
      <c r="F58" s="11" t="str">
        <f t="shared" si="1"/>
        <v/>
      </c>
      <c r="G58" s="22" t="str">
        <f t="shared" si="2"/>
        <v/>
      </c>
      <c r="J58" s="32"/>
      <c r="L58" s="11" t="str">
        <f t="shared" si="12"/>
        <v/>
      </c>
      <c r="M58" s="11" t="str">
        <f t="shared" si="4"/>
        <v/>
      </c>
      <c r="N58" s="22" t="str">
        <f t="shared" si="9"/>
        <v/>
      </c>
      <c r="Q58" s="32"/>
      <c r="S58" s="11" t="str">
        <f t="shared" si="11"/>
        <v/>
      </c>
      <c r="T58" s="11" t="str">
        <f t="shared" si="5"/>
        <v/>
      </c>
      <c r="U58" s="22" t="str">
        <f t="shared" si="6"/>
        <v/>
      </c>
    </row>
    <row r="59" spans="3:21" ht="18" customHeight="1" x14ac:dyDescent="0.25">
      <c r="C59" s="32"/>
      <c r="E59" s="11" t="str">
        <f t="shared" si="10"/>
        <v/>
      </c>
      <c r="F59" s="11" t="str">
        <f t="shared" si="1"/>
        <v/>
      </c>
      <c r="G59" s="22" t="str">
        <f t="shared" si="2"/>
        <v/>
      </c>
      <c r="J59" s="32"/>
      <c r="L59" s="11" t="str">
        <f t="shared" si="12"/>
        <v/>
      </c>
      <c r="M59" s="11" t="str">
        <f t="shared" si="4"/>
        <v/>
      </c>
      <c r="N59" s="22" t="str">
        <f t="shared" si="9"/>
        <v/>
      </c>
      <c r="Q59" s="32"/>
      <c r="S59" s="11" t="str">
        <f t="shared" si="11"/>
        <v/>
      </c>
      <c r="T59" s="11" t="str">
        <f t="shared" si="5"/>
        <v/>
      </c>
      <c r="U59" s="22" t="str">
        <f t="shared" si="6"/>
        <v/>
      </c>
    </row>
    <row r="60" spans="3:21" ht="18" customHeight="1" x14ac:dyDescent="0.25">
      <c r="C60" s="32"/>
      <c r="E60" s="11" t="str">
        <f t="shared" si="10"/>
        <v/>
      </c>
      <c r="F60" s="11" t="str">
        <f t="shared" si="1"/>
        <v/>
      </c>
      <c r="G60" s="22" t="str">
        <f t="shared" si="2"/>
        <v/>
      </c>
      <c r="J60" s="32"/>
      <c r="L60" s="11" t="str">
        <f t="shared" si="12"/>
        <v/>
      </c>
      <c r="M60" s="11" t="str">
        <f t="shared" si="4"/>
        <v/>
      </c>
      <c r="N60" s="22" t="str">
        <f t="shared" si="9"/>
        <v/>
      </c>
      <c r="Q60" s="32"/>
      <c r="S60" s="11" t="str">
        <f t="shared" si="11"/>
        <v/>
      </c>
      <c r="T60" s="11" t="str">
        <f t="shared" si="5"/>
        <v/>
      </c>
      <c r="U60" s="22" t="str">
        <f t="shared" si="6"/>
        <v/>
      </c>
    </row>
    <row r="61" spans="3:21" ht="18" customHeight="1" x14ac:dyDescent="0.25">
      <c r="C61" s="32"/>
      <c r="E61" s="11" t="str">
        <f t="shared" si="10"/>
        <v/>
      </c>
      <c r="F61" s="11" t="str">
        <f t="shared" si="1"/>
        <v/>
      </c>
      <c r="G61" s="22" t="str">
        <f t="shared" si="2"/>
        <v/>
      </c>
      <c r="J61" s="32"/>
      <c r="L61" s="11" t="str">
        <f t="shared" si="12"/>
        <v/>
      </c>
      <c r="M61" s="11" t="str">
        <f t="shared" si="4"/>
        <v/>
      </c>
      <c r="N61" s="22" t="str">
        <f t="shared" si="9"/>
        <v/>
      </c>
      <c r="Q61" s="32"/>
      <c r="S61" s="11" t="str">
        <f t="shared" si="11"/>
        <v/>
      </c>
      <c r="T61" s="11" t="str">
        <f t="shared" si="5"/>
        <v/>
      </c>
      <c r="U61" s="22" t="str">
        <f t="shared" si="6"/>
        <v/>
      </c>
    </row>
    <row r="62" spans="3:21" ht="18" customHeight="1" x14ac:dyDescent="0.25">
      <c r="C62" s="32"/>
      <c r="E62" s="11" t="str">
        <f t="shared" si="10"/>
        <v/>
      </c>
      <c r="F62" s="11" t="str">
        <f t="shared" si="1"/>
        <v/>
      </c>
      <c r="G62" s="22" t="str">
        <f t="shared" si="2"/>
        <v/>
      </c>
      <c r="J62" s="32"/>
      <c r="L62" s="11" t="str">
        <f t="shared" si="12"/>
        <v/>
      </c>
      <c r="M62" s="11" t="str">
        <f t="shared" si="4"/>
        <v/>
      </c>
      <c r="N62" s="22" t="str">
        <f t="shared" si="9"/>
        <v/>
      </c>
      <c r="Q62" s="32"/>
      <c r="S62" s="11" t="str">
        <f t="shared" si="11"/>
        <v/>
      </c>
      <c r="T62" s="11" t="str">
        <f t="shared" si="5"/>
        <v/>
      </c>
      <c r="U62" s="22" t="str">
        <f t="shared" si="6"/>
        <v/>
      </c>
    </row>
    <row r="63" spans="3:21" ht="18" customHeight="1" x14ac:dyDescent="0.25">
      <c r="C63" s="32"/>
      <c r="E63" s="11" t="str">
        <f t="shared" si="10"/>
        <v/>
      </c>
      <c r="F63" s="11" t="str">
        <f t="shared" si="1"/>
        <v/>
      </c>
      <c r="G63" s="22" t="str">
        <f t="shared" si="2"/>
        <v/>
      </c>
      <c r="J63" s="32"/>
      <c r="L63" s="11" t="str">
        <f t="shared" si="12"/>
        <v/>
      </c>
      <c r="M63" s="11" t="str">
        <f t="shared" si="4"/>
        <v/>
      </c>
      <c r="N63" s="22" t="str">
        <f t="shared" si="9"/>
        <v/>
      </c>
      <c r="Q63" s="32"/>
      <c r="S63" s="11" t="str">
        <f t="shared" si="11"/>
        <v/>
      </c>
      <c r="T63" s="11" t="str">
        <f t="shared" si="5"/>
        <v/>
      </c>
      <c r="U63" s="22" t="str">
        <f t="shared" si="6"/>
        <v/>
      </c>
    </row>
    <row r="64" spans="3:21" ht="18" customHeight="1" x14ac:dyDescent="0.25">
      <c r="C64" s="32"/>
      <c r="E64" s="11" t="str">
        <f t="shared" si="10"/>
        <v/>
      </c>
      <c r="F64" s="11" t="str">
        <f t="shared" si="1"/>
        <v/>
      </c>
      <c r="G64" s="22" t="str">
        <f t="shared" si="2"/>
        <v/>
      </c>
      <c r="J64" s="32"/>
      <c r="L64" s="11" t="str">
        <f t="shared" si="12"/>
        <v/>
      </c>
      <c r="M64" s="11" t="str">
        <f t="shared" si="4"/>
        <v/>
      </c>
      <c r="N64" s="22" t="str">
        <f t="shared" si="9"/>
        <v/>
      </c>
      <c r="Q64" s="32"/>
      <c r="S64" s="11" t="str">
        <f t="shared" si="11"/>
        <v/>
      </c>
      <c r="T64" s="11" t="str">
        <f t="shared" si="5"/>
        <v/>
      </c>
      <c r="U64" s="22" t="str">
        <f t="shared" si="6"/>
        <v/>
      </c>
    </row>
    <row r="65" spans="3:21" ht="18" customHeight="1" x14ac:dyDescent="0.25">
      <c r="C65" s="32"/>
      <c r="E65" s="11" t="str">
        <f t="shared" si="10"/>
        <v/>
      </c>
      <c r="F65" s="11" t="str">
        <f t="shared" si="1"/>
        <v/>
      </c>
      <c r="G65" s="22" t="str">
        <f t="shared" si="2"/>
        <v/>
      </c>
      <c r="J65" s="32"/>
      <c r="L65" s="11" t="str">
        <f t="shared" si="12"/>
        <v/>
      </c>
      <c r="M65" s="11" t="str">
        <f t="shared" si="4"/>
        <v/>
      </c>
      <c r="N65" s="22" t="str">
        <f t="shared" si="9"/>
        <v/>
      </c>
      <c r="Q65" s="32"/>
      <c r="S65" s="11" t="str">
        <f t="shared" si="11"/>
        <v/>
      </c>
      <c r="T65" s="11" t="str">
        <f t="shared" si="5"/>
        <v/>
      </c>
      <c r="U65" s="22" t="str">
        <f t="shared" si="6"/>
        <v/>
      </c>
    </row>
    <row r="66" spans="3:21" ht="18" customHeight="1" x14ac:dyDescent="0.25">
      <c r="C66" s="32"/>
      <c r="E66" s="11" t="str">
        <f t="shared" si="10"/>
        <v/>
      </c>
      <c r="F66" s="11" t="str">
        <f t="shared" si="1"/>
        <v/>
      </c>
      <c r="G66" s="22" t="str">
        <f t="shared" si="2"/>
        <v/>
      </c>
      <c r="J66" s="32"/>
      <c r="L66" s="11" t="str">
        <f t="shared" si="12"/>
        <v/>
      </c>
      <c r="M66" s="11" t="str">
        <f t="shared" si="4"/>
        <v/>
      </c>
      <c r="N66" s="22" t="str">
        <f t="shared" si="9"/>
        <v/>
      </c>
      <c r="Q66" s="32"/>
      <c r="S66" s="11" t="str">
        <f t="shared" si="11"/>
        <v/>
      </c>
      <c r="T66" s="11" t="str">
        <f t="shared" si="5"/>
        <v/>
      </c>
      <c r="U66" s="22" t="str">
        <f t="shared" si="6"/>
        <v/>
      </c>
    </row>
    <row r="67" spans="3:21" ht="18" customHeight="1" x14ac:dyDescent="0.25">
      <c r="C67" s="32"/>
      <c r="E67" s="11" t="str">
        <f t="shared" si="10"/>
        <v/>
      </c>
      <c r="F67" s="11" t="str">
        <f t="shared" si="1"/>
        <v/>
      </c>
      <c r="G67" s="22" t="str">
        <f t="shared" si="2"/>
        <v/>
      </c>
      <c r="J67" s="32"/>
      <c r="L67" s="11" t="str">
        <f t="shared" si="12"/>
        <v/>
      </c>
      <c r="M67" s="11" t="str">
        <f t="shared" si="4"/>
        <v/>
      </c>
      <c r="N67" s="22" t="str">
        <f t="shared" si="9"/>
        <v/>
      </c>
      <c r="Q67" s="32"/>
      <c r="S67" s="11" t="str">
        <f t="shared" si="11"/>
        <v/>
      </c>
      <c r="T67" s="11" t="str">
        <f t="shared" si="5"/>
        <v/>
      </c>
      <c r="U67" s="22" t="str">
        <f t="shared" si="6"/>
        <v/>
      </c>
    </row>
    <row r="68" spans="3:21" ht="18" customHeight="1" x14ac:dyDescent="0.25">
      <c r="C68" s="32"/>
      <c r="E68" s="11" t="str">
        <f t="shared" si="10"/>
        <v/>
      </c>
      <c r="F68" s="11" t="str">
        <f t="shared" si="1"/>
        <v/>
      </c>
      <c r="G68" s="22" t="str">
        <f t="shared" si="2"/>
        <v/>
      </c>
      <c r="J68" s="32"/>
      <c r="L68" s="11" t="str">
        <f t="shared" si="12"/>
        <v/>
      </c>
      <c r="M68" s="11" t="str">
        <f t="shared" si="4"/>
        <v/>
      </c>
      <c r="N68" s="22" t="str">
        <f t="shared" si="9"/>
        <v/>
      </c>
      <c r="Q68" s="32"/>
      <c r="S68" s="11" t="str">
        <f t="shared" si="11"/>
        <v/>
      </c>
      <c r="T68" s="11" t="str">
        <f t="shared" si="5"/>
        <v/>
      </c>
      <c r="U68" s="22" t="str">
        <f t="shared" si="6"/>
        <v/>
      </c>
    </row>
    <row r="69" spans="3:21" ht="18" customHeight="1" x14ac:dyDescent="0.25">
      <c r="C69" s="32"/>
      <c r="E69" s="11" t="str">
        <f t="shared" si="10"/>
        <v/>
      </c>
      <c r="F69" s="11" t="str">
        <f t="shared" si="1"/>
        <v/>
      </c>
      <c r="G69" s="22" t="str">
        <f t="shared" si="2"/>
        <v/>
      </c>
      <c r="J69" s="32"/>
      <c r="L69" s="11" t="str">
        <f t="shared" si="12"/>
        <v/>
      </c>
      <c r="M69" s="11" t="str">
        <f t="shared" si="4"/>
        <v/>
      </c>
      <c r="N69" s="22" t="str">
        <f t="shared" si="9"/>
        <v/>
      </c>
      <c r="Q69" s="32"/>
      <c r="S69" s="11" t="str">
        <f t="shared" si="11"/>
        <v/>
      </c>
      <c r="T69" s="11" t="str">
        <f t="shared" si="5"/>
        <v/>
      </c>
      <c r="U69" s="22" t="str">
        <f t="shared" si="6"/>
        <v/>
      </c>
    </row>
    <row r="70" spans="3:21" ht="18" customHeight="1" x14ac:dyDescent="0.25">
      <c r="C70" s="32"/>
      <c r="E70" s="11" t="str">
        <f t="shared" si="10"/>
        <v/>
      </c>
      <c r="F70" s="11" t="str">
        <f t="shared" si="1"/>
        <v/>
      </c>
      <c r="G70" s="22" t="str">
        <f t="shared" si="2"/>
        <v/>
      </c>
      <c r="J70" s="32"/>
      <c r="L70" s="11" t="str">
        <f t="shared" si="12"/>
        <v/>
      </c>
      <c r="M70" s="11" t="str">
        <f t="shared" si="4"/>
        <v/>
      </c>
      <c r="N70" s="22" t="str">
        <f t="shared" si="9"/>
        <v/>
      </c>
      <c r="Q70" s="32"/>
      <c r="S70" s="11" t="str">
        <f t="shared" si="11"/>
        <v/>
      </c>
      <c r="T70" s="11" t="str">
        <f t="shared" si="5"/>
        <v/>
      </c>
      <c r="U70" s="22" t="str">
        <f t="shared" si="6"/>
        <v/>
      </c>
    </row>
    <row r="71" spans="3:21" ht="18" customHeight="1" x14ac:dyDescent="0.25">
      <c r="C71" s="32"/>
      <c r="E71" s="11" t="str">
        <f t="shared" si="10"/>
        <v/>
      </c>
      <c r="F71" s="11" t="str">
        <f t="shared" si="1"/>
        <v/>
      </c>
      <c r="G71" s="22" t="str">
        <f t="shared" si="2"/>
        <v/>
      </c>
      <c r="J71" s="32"/>
      <c r="L71" s="11" t="str">
        <f t="shared" si="12"/>
        <v/>
      </c>
      <c r="M71" s="11" t="str">
        <f t="shared" si="4"/>
        <v/>
      </c>
      <c r="N71" s="22" t="str">
        <f t="shared" si="9"/>
        <v/>
      </c>
      <c r="Q71" s="32"/>
      <c r="S71" s="11" t="str">
        <f t="shared" si="11"/>
        <v/>
      </c>
      <c r="T71" s="11" t="str">
        <f t="shared" si="5"/>
        <v/>
      </c>
      <c r="U71" s="22" t="str">
        <f t="shared" si="6"/>
        <v/>
      </c>
    </row>
    <row r="72" spans="3:21" ht="18" customHeight="1" x14ac:dyDescent="0.25">
      <c r="C72" s="32"/>
      <c r="E72" s="11" t="str">
        <f t="shared" si="10"/>
        <v/>
      </c>
      <c r="F72" s="11" t="str">
        <f t="shared" si="1"/>
        <v/>
      </c>
      <c r="G72" s="22" t="str">
        <f t="shared" si="2"/>
        <v/>
      </c>
      <c r="J72" s="32"/>
      <c r="L72" s="11" t="str">
        <f t="shared" si="12"/>
        <v/>
      </c>
      <c r="M72" s="11" t="str">
        <f t="shared" si="4"/>
        <v/>
      </c>
      <c r="N72" s="22" t="str">
        <f t="shared" si="9"/>
        <v/>
      </c>
      <c r="Q72" s="32"/>
      <c r="S72" s="11" t="str">
        <f t="shared" si="11"/>
        <v/>
      </c>
      <c r="T72" s="11" t="str">
        <f t="shared" si="5"/>
        <v/>
      </c>
      <c r="U72" s="22" t="str">
        <f t="shared" si="6"/>
        <v/>
      </c>
    </row>
    <row r="73" spans="3:21" ht="18" customHeight="1" x14ac:dyDescent="0.25">
      <c r="C73" s="32"/>
      <c r="E73" s="11" t="str">
        <f t="shared" si="10"/>
        <v/>
      </c>
      <c r="F73" s="11" t="str">
        <f t="shared" si="1"/>
        <v/>
      </c>
      <c r="G73" s="22" t="str">
        <f t="shared" si="2"/>
        <v/>
      </c>
      <c r="J73" s="32"/>
      <c r="L73" s="11" t="str">
        <f t="shared" si="12"/>
        <v/>
      </c>
      <c r="M73" s="11" t="str">
        <f t="shared" si="4"/>
        <v/>
      </c>
      <c r="N73" s="22" t="str">
        <f t="shared" si="9"/>
        <v/>
      </c>
      <c r="Q73" s="32"/>
      <c r="S73" s="11" t="str">
        <f t="shared" si="11"/>
        <v/>
      </c>
      <c r="T73" s="11" t="str">
        <f t="shared" si="5"/>
        <v/>
      </c>
      <c r="U73" s="22" t="str">
        <f t="shared" si="6"/>
        <v/>
      </c>
    </row>
    <row r="74" spans="3:21" ht="18" customHeight="1" x14ac:dyDescent="0.25">
      <c r="C74" s="32"/>
      <c r="E74" s="11" t="str">
        <f t="shared" si="10"/>
        <v/>
      </c>
      <c r="F74" s="11" t="str">
        <f t="shared" si="1"/>
        <v/>
      </c>
      <c r="G74" s="22" t="str">
        <f t="shared" si="2"/>
        <v/>
      </c>
      <c r="J74" s="32"/>
      <c r="L74" s="11" t="str">
        <f t="shared" si="12"/>
        <v/>
      </c>
      <c r="M74" s="11" t="str">
        <f t="shared" si="4"/>
        <v/>
      </c>
      <c r="N74" s="22" t="str">
        <f t="shared" si="9"/>
        <v/>
      </c>
      <c r="Q74" s="32"/>
      <c r="S74" s="11" t="str">
        <f t="shared" si="11"/>
        <v/>
      </c>
      <c r="T74" s="11" t="str">
        <f t="shared" si="5"/>
        <v/>
      </c>
      <c r="U74" s="22" t="str">
        <f t="shared" si="6"/>
        <v/>
      </c>
    </row>
    <row r="75" spans="3:21" ht="18" customHeight="1" x14ac:dyDescent="0.25">
      <c r="C75" s="32"/>
      <c r="E75" s="11" t="str">
        <f t="shared" si="10"/>
        <v/>
      </c>
      <c r="F75" s="11" t="str">
        <f t="shared" si="1"/>
        <v/>
      </c>
      <c r="G75" s="22" t="str">
        <f t="shared" si="2"/>
        <v/>
      </c>
      <c r="J75" s="32"/>
      <c r="L75" s="11" t="str">
        <f t="shared" si="12"/>
        <v/>
      </c>
      <c r="M75" s="11" t="str">
        <f t="shared" si="4"/>
        <v/>
      </c>
      <c r="N75" s="22" t="str">
        <f t="shared" si="9"/>
        <v/>
      </c>
      <c r="Q75" s="32"/>
      <c r="S75" s="11" t="str">
        <f t="shared" si="11"/>
        <v/>
      </c>
      <c r="T75" s="11" t="str">
        <f t="shared" si="5"/>
        <v/>
      </c>
      <c r="U75" s="22" t="str">
        <f t="shared" si="6"/>
        <v/>
      </c>
    </row>
    <row r="76" spans="3:21" ht="18" customHeight="1" x14ac:dyDescent="0.25">
      <c r="C76" s="32"/>
      <c r="E76" s="11" t="str">
        <f t="shared" si="10"/>
        <v/>
      </c>
      <c r="F76" s="11" t="str">
        <f t="shared" si="1"/>
        <v/>
      </c>
      <c r="G76" s="22" t="str">
        <f t="shared" si="2"/>
        <v/>
      </c>
      <c r="J76" s="32"/>
      <c r="L76" s="11" t="str">
        <f t="shared" si="12"/>
        <v/>
      </c>
      <c r="M76" s="11" t="str">
        <f t="shared" si="4"/>
        <v/>
      </c>
      <c r="N76" s="22" t="str">
        <f t="shared" si="9"/>
        <v/>
      </c>
      <c r="Q76" s="32"/>
      <c r="S76" s="11" t="str">
        <f t="shared" si="11"/>
        <v/>
      </c>
      <c r="T76" s="11" t="str">
        <f t="shared" si="5"/>
        <v/>
      </c>
      <c r="U76" s="22" t="str">
        <f t="shared" si="6"/>
        <v/>
      </c>
    </row>
    <row r="77" spans="3:21" ht="18" customHeight="1" x14ac:dyDescent="0.25">
      <c r="C77" s="32"/>
      <c r="E77" s="11" t="str">
        <f t="shared" si="10"/>
        <v/>
      </c>
      <c r="F77" s="11" t="str">
        <f t="shared" si="1"/>
        <v/>
      </c>
      <c r="G77" s="22" t="str">
        <f t="shared" si="2"/>
        <v/>
      </c>
      <c r="J77" s="32"/>
      <c r="L77" s="11" t="str">
        <f t="shared" si="12"/>
        <v/>
      </c>
      <c r="M77" s="11" t="str">
        <f t="shared" si="4"/>
        <v/>
      </c>
      <c r="N77" s="22" t="str">
        <f t="shared" si="9"/>
        <v/>
      </c>
      <c r="Q77" s="32"/>
      <c r="S77" s="11" t="str">
        <f t="shared" si="11"/>
        <v/>
      </c>
      <c r="T77" s="11" t="str">
        <f t="shared" si="5"/>
        <v/>
      </c>
      <c r="U77" s="22" t="str">
        <f t="shared" si="6"/>
        <v/>
      </c>
    </row>
    <row r="78" spans="3:21" ht="18" customHeight="1" x14ac:dyDescent="0.25">
      <c r="C78" s="32"/>
      <c r="E78" s="11" t="str">
        <f t="shared" si="10"/>
        <v/>
      </c>
      <c r="F78" s="11" t="str">
        <f t="shared" si="1"/>
        <v/>
      </c>
      <c r="G78" s="22" t="str">
        <f t="shared" si="2"/>
        <v/>
      </c>
      <c r="J78" s="32"/>
      <c r="L78" s="11" t="str">
        <f t="shared" si="12"/>
        <v/>
      </c>
      <c r="M78" s="11" t="str">
        <f t="shared" si="4"/>
        <v/>
      </c>
      <c r="N78" s="22" t="str">
        <f t="shared" si="9"/>
        <v/>
      </c>
      <c r="Q78" s="32"/>
      <c r="S78" s="11" t="str">
        <f t="shared" si="11"/>
        <v/>
      </c>
      <c r="T78" s="11" t="str">
        <f t="shared" si="5"/>
        <v/>
      </c>
      <c r="U78" s="22" t="str">
        <f t="shared" si="6"/>
        <v/>
      </c>
    </row>
    <row r="79" spans="3:21" ht="18" customHeight="1" x14ac:dyDescent="0.25">
      <c r="C79" s="32"/>
      <c r="E79" s="11" t="str">
        <f t="shared" si="10"/>
        <v/>
      </c>
      <c r="F79" s="11" t="str">
        <f t="shared" ref="F79:F100" si="13">IF(D79="","",($D$1*3)*$D$1)</f>
        <v/>
      </c>
      <c r="G79" s="22" t="str">
        <f t="shared" ref="G79:G100" si="14">IFERROR(E79/F79,"")</f>
        <v/>
      </c>
      <c r="J79" s="32"/>
      <c r="L79" s="11" t="str">
        <f t="shared" si="12"/>
        <v/>
      </c>
      <c r="M79" s="11" t="str">
        <f t="shared" ref="M79:M100" si="15">IF(K79="","",($D$1*3)*$D$1)</f>
        <v/>
      </c>
      <c r="N79" s="22" t="str">
        <f t="shared" si="9"/>
        <v/>
      </c>
      <c r="Q79" s="32"/>
      <c r="S79" s="11" t="str">
        <f t="shared" si="11"/>
        <v/>
      </c>
      <c r="T79" s="11" t="str">
        <f t="shared" ref="T79:T100" si="16">IF(R79="","",($D$1*3)*$D$1)</f>
        <v/>
      </c>
      <c r="U79" s="22" t="str">
        <f t="shared" ref="U79:U100" si="17">IF((S79= "")+(T79=""),"",S79/T79)</f>
        <v/>
      </c>
    </row>
    <row r="80" spans="3:21" ht="18" customHeight="1" x14ac:dyDescent="0.25">
      <c r="C80" s="32"/>
      <c r="E80" s="11" t="str">
        <f t="shared" ref="E80:E100" si="18">IF(D80-D79&gt;0,D80-D79,"")</f>
        <v/>
      </c>
      <c r="F80" s="11" t="str">
        <f t="shared" si="13"/>
        <v/>
      </c>
      <c r="G80" s="22" t="str">
        <f t="shared" si="14"/>
        <v/>
      </c>
      <c r="J80" s="32"/>
      <c r="L80" s="11" t="str">
        <f t="shared" si="12"/>
        <v/>
      </c>
      <c r="M80" s="11" t="str">
        <f t="shared" si="15"/>
        <v/>
      </c>
      <c r="N80" s="22" t="str">
        <f t="shared" si="9"/>
        <v/>
      </c>
      <c r="Q80" s="32"/>
      <c r="S80" s="11" t="str">
        <f t="shared" ref="S80:S100" si="19">IF(R80-R79&gt;0,R80-R79,"")</f>
        <v/>
      </c>
      <c r="T80" s="11" t="str">
        <f t="shared" si="16"/>
        <v/>
      </c>
      <c r="U80" s="22" t="str">
        <f t="shared" si="17"/>
        <v/>
      </c>
    </row>
    <row r="81" spans="3:21" ht="18" customHeight="1" x14ac:dyDescent="0.25">
      <c r="C81" s="32"/>
      <c r="E81" s="11" t="str">
        <f t="shared" si="18"/>
        <v/>
      </c>
      <c r="F81" s="11" t="str">
        <f t="shared" si="13"/>
        <v/>
      </c>
      <c r="G81" s="22" t="str">
        <f t="shared" si="14"/>
        <v/>
      </c>
      <c r="J81" s="32"/>
      <c r="L81" s="11" t="str">
        <f t="shared" si="12"/>
        <v/>
      </c>
      <c r="M81" s="11" t="str">
        <f t="shared" si="15"/>
        <v/>
      </c>
      <c r="N81" s="22" t="str">
        <f t="shared" si="9"/>
        <v/>
      </c>
      <c r="Q81" s="32"/>
      <c r="S81" s="11" t="str">
        <f t="shared" si="19"/>
        <v/>
      </c>
      <c r="T81" s="11" t="str">
        <f t="shared" si="16"/>
        <v/>
      </c>
      <c r="U81" s="22" t="str">
        <f t="shared" si="17"/>
        <v/>
      </c>
    </row>
    <row r="82" spans="3:21" ht="18" customHeight="1" x14ac:dyDescent="0.25">
      <c r="C82" s="32"/>
      <c r="E82" s="11" t="str">
        <f t="shared" si="18"/>
        <v/>
      </c>
      <c r="F82" s="11" t="str">
        <f t="shared" si="13"/>
        <v/>
      </c>
      <c r="G82" s="22" t="str">
        <f t="shared" si="14"/>
        <v/>
      </c>
      <c r="J82" s="32"/>
      <c r="L82" s="11" t="str">
        <f t="shared" si="12"/>
        <v/>
      </c>
      <c r="M82" s="11" t="str">
        <f t="shared" si="15"/>
        <v/>
      </c>
      <c r="N82" s="22" t="str">
        <f t="shared" si="9"/>
        <v/>
      </c>
      <c r="Q82" s="32"/>
      <c r="S82" s="11" t="str">
        <f t="shared" si="19"/>
        <v/>
      </c>
      <c r="T82" s="11" t="str">
        <f t="shared" si="16"/>
        <v/>
      </c>
      <c r="U82" s="22" t="str">
        <f t="shared" si="17"/>
        <v/>
      </c>
    </row>
    <row r="83" spans="3:21" ht="18" customHeight="1" x14ac:dyDescent="0.25">
      <c r="C83" s="32"/>
      <c r="E83" s="11" t="str">
        <f t="shared" si="18"/>
        <v/>
      </c>
      <c r="F83" s="11" t="str">
        <f t="shared" si="13"/>
        <v/>
      </c>
      <c r="G83" s="22" t="str">
        <f t="shared" si="14"/>
        <v/>
      </c>
      <c r="J83" s="32"/>
      <c r="L83" s="11" t="str">
        <f t="shared" si="12"/>
        <v/>
      </c>
      <c r="M83" s="11" t="str">
        <f t="shared" si="15"/>
        <v/>
      </c>
      <c r="N83" s="22" t="str">
        <f t="shared" si="9"/>
        <v/>
      </c>
      <c r="Q83" s="32"/>
      <c r="S83" s="11" t="str">
        <f t="shared" si="19"/>
        <v/>
      </c>
      <c r="T83" s="11" t="str">
        <f t="shared" si="16"/>
        <v/>
      </c>
      <c r="U83" s="22" t="str">
        <f t="shared" si="17"/>
        <v/>
      </c>
    </row>
    <row r="84" spans="3:21" ht="18" customHeight="1" x14ac:dyDescent="0.25">
      <c r="C84" s="32"/>
      <c r="E84" s="11" t="str">
        <f t="shared" si="18"/>
        <v/>
      </c>
      <c r="F84" s="11" t="str">
        <f t="shared" si="13"/>
        <v/>
      </c>
      <c r="G84" s="22" t="str">
        <f t="shared" si="14"/>
        <v/>
      </c>
      <c r="J84" s="32"/>
      <c r="L84" s="11" t="str">
        <f t="shared" si="12"/>
        <v/>
      </c>
      <c r="M84" s="11" t="str">
        <f t="shared" si="15"/>
        <v/>
      </c>
      <c r="N84" s="22" t="str">
        <f t="shared" si="9"/>
        <v/>
      </c>
      <c r="Q84" s="32"/>
      <c r="S84" s="11" t="str">
        <f t="shared" si="19"/>
        <v/>
      </c>
      <c r="T84" s="11" t="str">
        <f t="shared" si="16"/>
        <v/>
      </c>
      <c r="U84" s="22" t="str">
        <f t="shared" si="17"/>
        <v/>
      </c>
    </row>
    <row r="85" spans="3:21" ht="18" customHeight="1" x14ac:dyDescent="0.25">
      <c r="C85" s="32"/>
      <c r="E85" s="11" t="str">
        <f t="shared" si="18"/>
        <v/>
      </c>
      <c r="F85" s="11" t="str">
        <f t="shared" si="13"/>
        <v/>
      </c>
      <c r="G85" s="22" t="str">
        <f t="shared" si="14"/>
        <v/>
      </c>
      <c r="J85" s="32"/>
      <c r="L85" s="11" t="str">
        <f t="shared" si="12"/>
        <v/>
      </c>
      <c r="M85" s="11" t="str">
        <f t="shared" si="15"/>
        <v/>
      </c>
      <c r="N85" s="22" t="str">
        <f t="shared" si="9"/>
        <v/>
      </c>
      <c r="Q85" s="32"/>
      <c r="S85" s="11" t="str">
        <f t="shared" si="19"/>
        <v/>
      </c>
      <c r="T85" s="11" t="str">
        <f t="shared" si="16"/>
        <v/>
      </c>
      <c r="U85" s="22" t="str">
        <f t="shared" si="17"/>
        <v/>
      </c>
    </row>
    <row r="86" spans="3:21" ht="18" customHeight="1" x14ac:dyDescent="0.25">
      <c r="C86" s="32"/>
      <c r="E86" s="11" t="str">
        <f t="shared" si="18"/>
        <v/>
      </c>
      <c r="F86" s="11" t="str">
        <f t="shared" si="13"/>
        <v/>
      </c>
      <c r="G86" s="22" t="str">
        <f t="shared" si="14"/>
        <v/>
      </c>
      <c r="J86" s="32"/>
      <c r="L86" s="11" t="str">
        <f t="shared" ref="L86:L100" si="20">IF(K86&gt;0,K86*9.81,"")</f>
        <v/>
      </c>
      <c r="M86" s="11" t="str">
        <f t="shared" si="15"/>
        <v/>
      </c>
      <c r="N86" s="22" t="str">
        <f t="shared" ref="N86:N100" si="21">IF((L86= "")+(M86=""),"",L86/M86)</f>
        <v/>
      </c>
      <c r="Q86" s="32"/>
      <c r="S86" s="11" t="str">
        <f t="shared" si="19"/>
        <v/>
      </c>
      <c r="T86" s="11" t="str">
        <f t="shared" si="16"/>
        <v/>
      </c>
      <c r="U86" s="22" t="str">
        <f t="shared" si="17"/>
        <v/>
      </c>
    </row>
    <row r="87" spans="3:21" ht="18" customHeight="1" x14ac:dyDescent="0.25">
      <c r="C87" s="32"/>
      <c r="E87" s="11" t="str">
        <f t="shared" si="18"/>
        <v/>
      </c>
      <c r="F87" s="11" t="str">
        <f t="shared" si="13"/>
        <v/>
      </c>
      <c r="G87" s="22" t="str">
        <f t="shared" si="14"/>
        <v/>
      </c>
      <c r="J87" s="32"/>
      <c r="L87" s="11" t="str">
        <f t="shared" si="20"/>
        <v/>
      </c>
      <c r="M87" s="11" t="str">
        <f t="shared" si="15"/>
        <v/>
      </c>
      <c r="N87" s="22" t="str">
        <f t="shared" si="21"/>
        <v/>
      </c>
      <c r="Q87" s="32"/>
      <c r="S87" s="11" t="str">
        <f t="shared" si="19"/>
        <v/>
      </c>
      <c r="T87" s="11" t="str">
        <f t="shared" si="16"/>
        <v/>
      </c>
      <c r="U87" s="22" t="str">
        <f t="shared" si="17"/>
        <v/>
      </c>
    </row>
    <row r="88" spans="3:21" ht="18" customHeight="1" x14ac:dyDescent="0.25">
      <c r="C88" s="32"/>
      <c r="E88" s="11" t="str">
        <f t="shared" si="18"/>
        <v/>
      </c>
      <c r="F88" s="11" t="str">
        <f t="shared" si="13"/>
        <v/>
      </c>
      <c r="G88" s="22" t="str">
        <f t="shared" si="14"/>
        <v/>
      </c>
      <c r="J88" s="32"/>
      <c r="L88" s="11" t="str">
        <f t="shared" si="20"/>
        <v/>
      </c>
      <c r="M88" s="11" t="str">
        <f t="shared" si="15"/>
        <v/>
      </c>
      <c r="N88" s="22" t="str">
        <f t="shared" si="21"/>
        <v/>
      </c>
      <c r="Q88" s="32"/>
      <c r="S88" s="11" t="str">
        <f t="shared" si="19"/>
        <v/>
      </c>
      <c r="T88" s="11" t="str">
        <f t="shared" si="16"/>
        <v/>
      </c>
      <c r="U88" s="22" t="str">
        <f t="shared" si="17"/>
        <v/>
      </c>
    </row>
    <row r="89" spans="3:21" ht="18" customHeight="1" x14ac:dyDescent="0.25">
      <c r="C89" s="32"/>
      <c r="E89" s="11" t="str">
        <f t="shared" si="18"/>
        <v/>
      </c>
      <c r="F89" s="11" t="str">
        <f t="shared" si="13"/>
        <v/>
      </c>
      <c r="G89" s="22" t="str">
        <f t="shared" si="14"/>
        <v/>
      </c>
      <c r="J89" s="32"/>
      <c r="L89" s="11" t="str">
        <f t="shared" si="20"/>
        <v/>
      </c>
      <c r="M89" s="11" t="str">
        <f t="shared" si="15"/>
        <v/>
      </c>
      <c r="N89" s="22" t="str">
        <f t="shared" si="21"/>
        <v/>
      </c>
      <c r="Q89" s="32"/>
      <c r="S89" s="11" t="str">
        <f t="shared" si="19"/>
        <v/>
      </c>
      <c r="T89" s="11" t="str">
        <f t="shared" si="16"/>
        <v/>
      </c>
      <c r="U89" s="22" t="str">
        <f t="shared" si="17"/>
        <v/>
      </c>
    </row>
    <row r="90" spans="3:21" ht="18" customHeight="1" x14ac:dyDescent="0.25">
      <c r="C90" s="32"/>
      <c r="E90" s="11" t="str">
        <f t="shared" si="18"/>
        <v/>
      </c>
      <c r="F90" s="11" t="str">
        <f t="shared" si="13"/>
        <v/>
      </c>
      <c r="G90" s="22" t="str">
        <f t="shared" si="14"/>
        <v/>
      </c>
      <c r="J90" s="32"/>
      <c r="L90" s="11" t="str">
        <f t="shared" si="20"/>
        <v/>
      </c>
      <c r="M90" s="11" t="str">
        <f t="shared" si="15"/>
        <v/>
      </c>
      <c r="N90" s="22" t="str">
        <f t="shared" si="21"/>
        <v/>
      </c>
      <c r="Q90" s="32"/>
      <c r="S90" s="11" t="str">
        <f t="shared" si="19"/>
        <v/>
      </c>
      <c r="T90" s="11" t="str">
        <f t="shared" si="16"/>
        <v/>
      </c>
      <c r="U90" s="22" t="str">
        <f t="shared" si="17"/>
        <v/>
      </c>
    </row>
    <row r="91" spans="3:21" ht="18" customHeight="1" x14ac:dyDescent="0.25">
      <c r="C91" s="32"/>
      <c r="E91" s="11" t="str">
        <f t="shared" si="18"/>
        <v/>
      </c>
      <c r="F91" s="11" t="str">
        <f t="shared" si="13"/>
        <v/>
      </c>
      <c r="G91" s="22" t="str">
        <f t="shared" si="14"/>
        <v/>
      </c>
      <c r="J91" s="32"/>
      <c r="L91" s="11" t="str">
        <f t="shared" si="20"/>
        <v/>
      </c>
      <c r="M91" s="11" t="str">
        <f t="shared" si="15"/>
        <v/>
      </c>
      <c r="N91" s="22" t="str">
        <f t="shared" si="21"/>
        <v/>
      </c>
      <c r="Q91" s="32"/>
      <c r="S91" s="11" t="str">
        <f t="shared" si="19"/>
        <v/>
      </c>
      <c r="T91" s="11" t="str">
        <f t="shared" si="16"/>
        <v/>
      </c>
      <c r="U91" s="22" t="str">
        <f t="shared" si="17"/>
        <v/>
      </c>
    </row>
    <row r="92" spans="3:21" ht="18" customHeight="1" x14ac:dyDescent="0.25">
      <c r="C92" s="32"/>
      <c r="E92" s="11" t="str">
        <f t="shared" si="18"/>
        <v/>
      </c>
      <c r="F92" s="11" t="str">
        <f t="shared" si="13"/>
        <v/>
      </c>
      <c r="G92" s="22" t="str">
        <f t="shared" si="14"/>
        <v/>
      </c>
      <c r="J92" s="32"/>
      <c r="L92" s="11" t="str">
        <f t="shared" si="20"/>
        <v/>
      </c>
      <c r="M92" s="11" t="str">
        <f t="shared" si="15"/>
        <v/>
      </c>
      <c r="N92" s="22" t="str">
        <f t="shared" si="21"/>
        <v/>
      </c>
      <c r="Q92" s="32"/>
      <c r="S92" s="11" t="str">
        <f t="shared" si="19"/>
        <v/>
      </c>
      <c r="T92" s="11" t="str">
        <f t="shared" si="16"/>
        <v/>
      </c>
      <c r="U92" s="22" t="str">
        <f t="shared" si="17"/>
        <v/>
      </c>
    </row>
    <row r="93" spans="3:21" ht="18" customHeight="1" x14ac:dyDescent="0.25">
      <c r="C93" s="32"/>
      <c r="E93" s="11" t="str">
        <f t="shared" si="18"/>
        <v/>
      </c>
      <c r="F93" s="11" t="str">
        <f t="shared" si="13"/>
        <v/>
      </c>
      <c r="G93" s="22" t="str">
        <f t="shared" si="14"/>
        <v/>
      </c>
      <c r="J93" s="32"/>
      <c r="L93" s="11" t="str">
        <f t="shared" si="20"/>
        <v/>
      </c>
      <c r="M93" s="11" t="str">
        <f t="shared" si="15"/>
        <v/>
      </c>
      <c r="N93" s="22" t="str">
        <f t="shared" si="21"/>
        <v/>
      </c>
      <c r="Q93" s="32"/>
      <c r="S93" s="11" t="str">
        <f t="shared" si="19"/>
        <v/>
      </c>
      <c r="T93" s="11" t="str">
        <f t="shared" si="16"/>
        <v/>
      </c>
      <c r="U93" s="22" t="str">
        <f t="shared" si="17"/>
        <v/>
      </c>
    </row>
    <row r="94" spans="3:21" ht="18" customHeight="1" x14ac:dyDescent="0.25">
      <c r="C94" s="32"/>
      <c r="E94" s="11" t="str">
        <f t="shared" si="18"/>
        <v/>
      </c>
      <c r="F94" s="11" t="str">
        <f t="shared" si="13"/>
        <v/>
      </c>
      <c r="G94" s="22" t="str">
        <f t="shared" si="14"/>
        <v/>
      </c>
      <c r="J94" s="32"/>
      <c r="L94" s="11" t="str">
        <f t="shared" si="20"/>
        <v/>
      </c>
      <c r="M94" s="11" t="str">
        <f t="shared" si="15"/>
        <v/>
      </c>
      <c r="N94" s="22" t="str">
        <f t="shared" si="21"/>
        <v/>
      </c>
      <c r="Q94" s="32"/>
      <c r="S94" s="11" t="str">
        <f t="shared" si="19"/>
        <v/>
      </c>
      <c r="T94" s="11" t="str">
        <f t="shared" si="16"/>
        <v/>
      </c>
      <c r="U94" s="22" t="str">
        <f t="shared" si="17"/>
        <v/>
      </c>
    </row>
    <row r="95" spans="3:21" ht="18" customHeight="1" x14ac:dyDescent="0.25">
      <c r="C95" s="32"/>
      <c r="E95" s="11" t="str">
        <f t="shared" si="18"/>
        <v/>
      </c>
      <c r="F95" s="11" t="str">
        <f t="shared" si="13"/>
        <v/>
      </c>
      <c r="G95" s="22" t="str">
        <f t="shared" si="14"/>
        <v/>
      </c>
      <c r="J95" s="32"/>
      <c r="L95" s="11" t="str">
        <f t="shared" si="20"/>
        <v/>
      </c>
      <c r="M95" s="11" t="str">
        <f t="shared" si="15"/>
        <v/>
      </c>
      <c r="N95" s="22" t="str">
        <f t="shared" si="21"/>
        <v/>
      </c>
      <c r="Q95" s="32"/>
      <c r="S95" s="11" t="str">
        <f t="shared" si="19"/>
        <v/>
      </c>
      <c r="T95" s="11" t="str">
        <f t="shared" si="16"/>
        <v/>
      </c>
      <c r="U95" s="22" t="str">
        <f t="shared" si="17"/>
        <v/>
      </c>
    </row>
    <row r="96" spans="3:21" ht="18" customHeight="1" x14ac:dyDescent="0.25">
      <c r="C96" s="32"/>
      <c r="E96" s="11" t="str">
        <f t="shared" si="18"/>
        <v/>
      </c>
      <c r="F96" s="11" t="str">
        <f t="shared" si="13"/>
        <v/>
      </c>
      <c r="G96" s="22" t="str">
        <f t="shared" si="14"/>
        <v/>
      </c>
      <c r="J96" s="32"/>
      <c r="L96" s="11" t="str">
        <f t="shared" si="20"/>
        <v/>
      </c>
      <c r="M96" s="11" t="str">
        <f t="shared" si="15"/>
        <v/>
      </c>
      <c r="N96" s="22" t="str">
        <f t="shared" si="21"/>
        <v/>
      </c>
      <c r="Q96" s="32"/>
      <c r="S96" s="11" t="str">
        <f t="shared" si="19"/>
        <v/>
      </c>
      <c r="T96" s="11" t="str">
        <f t="shared" si="16"/>
        <v/>
      </c>
      <c r="U96" s="22" t="str">
        <f t="shared" si="17"/>
        <v/>
      </c>
    </row>
    <row r="97" spans="3:21" ht="18" customHeight="1" x14ac:dyDescent="0.25">
      <c r="C97" s="32"/>
      <c r="E97" s="11" t="str">
        <f t="shared" si="18"/>
        <v/>
      </c>
      <c r="F97" s="11" t="str">
        <f t="shared" si="13"/>
        <v/>
      </c>
      <c r="G97" s="22" t="str">
        <f t="shared" si="14"/>
        <v/>
      </c>
      <c r="J97" s="32"/>
      <c r="L97" s="11" t="str">
        <f t="shared" si="20"/>
        <v/>
      </c>
      <c r="M97" s="11" t="str">
        <f t="shared" si="15"/>
        <v/>
      </c>
      <c r="N97" s="22" t="str">
        <f t="shared" si="21"/>
        <v/>
      </c>
      <c r="Q97" s="32"/>
      <c r="S97" s="11" t="str">
        <f t="shared" si="19"/>
        <v/>
      </c>
      <c r="T97" s="11" t="str">
        <f t="shared" si="16"/>
        <v/>
      </c>
      <c r="U97" s="22" t="str">
        <f t="shared" si="17"/>
        <v/>
      </c>
    </row>
    <row r="98" spans="3:21" ht="18" customHeight="1" x14ac:dyDescent="0.25">
      <c r="C98" s="32"/>
      <c r="E98" s="11" t="str">
        <f t="shared" si="18"/>
        <v/>
      </c>
      <c r="F98" s="11" t="str">
        <f t="shared" si="13"/>
        <v/>
      </c>
      <c r="G98" s="22" t="str">
        <f t="shared" si="14"/>
        <v/>
      </c>
      <c r="J98" s="32"/>
      <c r="L98" s="11" t="str">
        <f t="shared" si="20"/>
        <v/>
      </c>
      <c r="M98" s="11" t="str">
        <f t="shared" si="15"/>
        <v/>
      </c>
      <c r="N98" s="22" t="str">
        <f t="shared" si="21"/>
        <v/>
      </c>
      <c r="Q98" s="32"/>
      <c r="S98" s="11" t="str">
        <f t="shared" si="19"/>
        <v/>
      </c>
      <c r="T98" s="11" t="str">
        <f t="shared" si="16"/>
        <v/>
      </c>
      <c r="U98" s="22" t="str">
        <f t="shared" si="17"/>
        <v/>
      </c>
    </row>
    <row r="99" spans="3:21" ht="18" customHeight="1" x14ac:dyDescent="0.25">
      <c r="C99" s="32"/>
      <c r="E99" s="11" t="str">
        <f t="shared" si="18"/>
        <v/>
      </c>
      <c r="F99" s="11" t="str">
        <f t="shared" si="13"/>
        <v/>
      </c>
      <c r="G99" s="22" t="str">
        <f t="shared" si="14"/>
        <v/>
      </c>
      <c r="J99" s="32"/>
      <c r="L99" s="11" t="str">
        <f t="shared" si="20"/>
        <v/>
      </c>
      <c r="M99" s="11" t="str">
        <f t="shared" si="15"/>
        <v/>
      </c>
      <c r="N99" s="22" t="str">
        <f t="shared" si="21"/>
        <v/>
      </c>
      <c r="Q99" s="32"/>
      <c r="S99" s="11" t="str">
        <f t="shared" si="19"/>
        <v/>
      </c>
      <c r="T99" s="11" t="str">
        <f t="shared" si="16"/>
        <v/>
      </c>
      <c r="U99" s="22" t="str">
        <f t="shared" si="17"/>
        <v/>
      </c>
    </row>
    <row r="100" spans="3:21" ht="18" customHeight="1" x14ac:dyDescent="0.25">
      <c r="C100" s="32"/>
      <c r="E100" s="11" t="str">
        <f t="shared" si="18"/>
        <v/>
      </c>
      <c r="F100" s="11" t="str">
        <f t="shared" si="13"/>
        <v/>
      </c>
      <c r="G100" s="22" t="str">
        <f t="shared" si="14"/>
        <v/>
      </c>
      <c r="J100" s="32"/>
      <c r="L100" s="11" t="str">
        <f t="shared" si="20"/>
        <v/>
      </c>
      <c r="M100" s="11" t="str">
        <f t="shared" si="15"/>
        <v/>
      </c>
      <c r="N100" s="22" t="str">
        <f t="shared" si="21"/>
        <v/>
      </c>
      <c r="Q100" s="32"/>
      <c r="S100" s="11" t="str">
        <f t="shared" si="19"/>
        <v/>
      </c>
      <c r="T100" s="11" t="str">
        <f t="shared" si="16"/>
        <v/>
      </c>
      <c r="U100" s="22" t="str">
        <f t="shared" si="17"/>
        <v/>
      </c>
    </row>
  </sheetData>
  <mergeCells count="4">
    <mergeCell ref="AG13:AH13"/>
    <mergeCell ref="AG10:AH10"/>
    <mergeCell ref="AG11:AH11"/>
    <mergeCell ref="W13:X13"/>
  </mergeCells>
  <phoneticPr fontId="2" type="noConversion"/>
  <conditionalFormatting sqref="G14:G100">
    <cfRule type="notContainsBlanks" dxfId="4" priority="10">
      <formula>LEN(TRIM(G14))&gt;0</formula>
    </cfRule>
  </conditionalFormatting>
  <conditionalFormatting sqref="N14:N100">
    <cfRule type="notContainsBlanks" dxfId="3" priority="5">
      <formula>LEN(TRIM(N14))&gt;0</formula>
    </cfRule>
  </conditionalFormatting>
  <conditionalFormatting sqref="U14:U100">
    <cfRule type="notContainsBlanks" dxfId="2" priority="4">
      <formula>LEN(TRIM(U14))&gt;0</formula>
    </cfRule>
  </conditionalFormatting>
  <conditionalFormatting sqref="AI11">
    <cfRule type="cellIs" dxfId="1" priority="1" operator="greaterThan">
      <formula>1.01</formula>
    </cfRule>
    <cfRule type="cellIs" dxfId="0" priority="2" operator="lessThan">
      <formula>0.99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>
    <tabColor theme="4"/>
  </sheetPr>
  <dimension ref="A1:M12"/>
  <sheetViews>
    <sheetView tabSelected="1" workbookViewId="0">
      <selection activeCell="I11" sqref="I11"/>
    </sheetView>
  </sheetViews>
  <sheetFormatPr defaultRowHeight="15.75" x14ac:dyDescent="0.25"/>
  <cols>
    <col min="1" max="16384" width="9" style="32"/>
  </cols>
  <sheetData>
    <row r="1" spans="1:13" ht="17.25" customHeight="1" thickBot="1" x14ac:dyDescent="0.3">
      <c r="A1" s="41" t="s">
        <v>98</v>
      </c>
      <c r="B1" s="41"/>
      <c r="C1" s="41"/>
      <c r="D1" s="41"/>
      <c r="E1" s="41"/>
      <c r="F1" s="41"/>
      <c r="G1" s="41"/>
      <c r="H1" s="41"/>
      <c r="I1" s="41"/>
      <c r="J1" s="41"/>
      <c r="L1" s="41" t="s">
        <v>99</v>
      </c>
      <c r="M1" s="41"/>
    </row>
    <row r="2" spans="1:13" ht="16.5" thickTop="1" x14ac:dyDescent="0.25">
      <c r="D2" s="36">
        <v>0.01</v>
      </c>
      <c r="E2" s="36">
        <v>1.4999999999999999E-2</v>
      </c>
      <c r="F2" s="36">
        <v>0.02</v>
      </c>
      <c r="G2" s="36">
        <v>2.5000000000000001E-2</v>
      </c>
      <c r="H2" s="36">
        <v>0.03</v>
      </c>
      <c r="I2" s="36">
        <v>3.5000000000000003E-2</v>
      </c>
      <c r="J2" s="36">
        <v>0.04</v>
      </c>
      <c r="L2" s="32" t="s">
        <v>96</v>
      </c>
      <c r="M2" s="32" t="s">
        <v>97</v>
      </c>
    </row>
    <row r="3" spans="1:13" x14ac:dyDescent="0.25">
      <c r="A3" s="32">
        <v>80</v>
      </c>
      <c r="B3" s="32">
        <v>80</v>
      </c>
      <c r="C3" s="36" t="s">
        <v>96</v>
      </c>
      <c r="D3" s="32">
        <f>ROUNDUP((ROUNDUP($A3*$B3*D$2/$L$3,0)-4)/4+2,0)</f>
        <v>5</v>
      </c>
      <c r="E3" s="32">
        <f>ROUNDUP((ROUNDUP($A3*$B3*E$2/$L$3,0)-4)/4+2,0)</f>
        <v>6</v>
      </c>
      <c r="F3" s="32">
        <f t="shared" ref="F3:J3" si="0">ROUNDUP((ROUNDUP($A3*$B3*F$2/$L$3,0)-4)/4+2,0)</f>
        <v>8</v>
      </c>
      <c r="G3" s="32">
        <f t="shared" si="0"/>
        <v>9</v>
      </c>
      <c r="H3" s="32">
        <f t="shared" si="0"/>
        <v>11</v>
      </c>
      <c r="I3" s="32">
        <f t="shared" si="0"/>
        <v>13</v>
      </c>
      <c r="J3" s="32">
        <f t="shared" si="0"/>
        <v>14</v>
      </c>
      <c r="L3" s="32">
        <v>5.0670000000000002</v>
      </c>
      <c r="M3" s="32">
        <v>8.1430000000000007</v>
      </c>
    </row>
    <row r="4" spans="1:13" x14ac:dyDescent="0.25">
      <c r="D4" s="38">
        <f>(((D3-2)*4+4)*$L$3)/($A3*$B3)</f>
        <v>1.26675E-2</v>
      </c>
      <c r="E4" s="38">
        <f t="shared" ref="E4:J4" si="1">(((E3-2)*4+4)*$L$3)/($A3*$B3)</f>
        <v>1.5834375000000001E-2</v>
      </c>
      <c r="F4" s="38">
        <f t="shared" si="1"/>
        <v>2.2168125E-2</v>
      </c>
      <c r="G4" s="38">
        <f t="shared" si="1"/>
        <v>2.5335E-2</v>
      </c>
      <c r="H4" s="38">
        <f t="shared" si="1"/>
        <v>3.1668750000000002E-2</v>
      </c>
      <c r="I4" s="38">
        <f t="shared" si="1"/>
        <v>3.8002500000000002E-2</v>
      </c>
      <c r="J4" s="38">
        <f t="shared" si="1"/>
        <v>4.1169375000000008E-2</v>
      </c>
    </row>
    <row r="5" spans="1:13" x14ac:dyDescent="0.25">
      <c r="C5" s="36" t="s">
        <v>97</v>
      </c>
      <c r="D5" s="32">
        <f t="shared" ref="D5:J5" si="2">ROUNDUP((ROUNDUP($A3*$B3*D$2/$M$3,0)-4)/4+2,0)</f>
        <v>3</v>
      </c>
      <c r="E5" s="32">
        <f t="shared" si="2"/>
        <v>4</v>
      </c>
      <c r="F5" s="32">
        <f t="shared" si="2"/>
        <v>5</v>
      </c>
      <c r="G5" s="32">
        <f t="shared" si="2"/>
        <v>6</v>
      </c>
      <c r="H5" s="32">
        <f t="shared" si="2"/>
        <v>7</v>
      </c>
      <c r="I5" s="32">
        <f t="shared" si="2"/>
        <v>8</v>
      </c>
      <c r="J5" s="32">
        <f t="shared" si="2"/>
        <v>9</v>
      </c>
    </row>
    <row r="6" spans="1:13" x14ac:dyDescent="0.25">
      <c r="C6" s="36"/>
      <c r="D6" s="38">
        <f>(((D5-2)*4+4)*$M$3)/($A3*$B3)</f>
        <v>1.017875E-2</v>
      </c>
      <c r="E6" s="38">
        <f t="shared" ref="E6:J6" si="3">(((E5-2)*4+4)*$M$3)/($A3*$B3)</f>
        <v>1.5268125E-2</v>
      </c>
      <c r="F6" s="38">
        <f t="shared" si="3"/>
        <v>2.0357500000000001E-2</v>
      </c>
      <c r="G6" s="38">
        <f t="shared" si="3"/>
        <v>2.5446875000000001E-2</v>
      </c>
      <c r="H6" s="38">
        <f t="shared" si="3"/>
        <v>3.0536250000000001E-2</v>
      </c>
      <c r="I6" s="38">
        <f t="shared" si="3"/>
        <v>3.5625625000000001E-2</v>
      </c>
      <c r="J6" s="38">
        <f t="shared" si="3"/>
        <v>4.0715000000000001E-2</v>
      </c>
    </row>
    <row r="7" spans="1:13" x14ac:dyDescent="0.25">
      <c r="D7" s="36"/>
      <c r="E7" s="36"/>
      <c r="F7" s="36"/>
      <c r="G7" s="36"/>
      <c r="H7" s="36"/>
      <c r="I7" s="36"/>
      <c r="J7" s="36"/>
    </row>
    <row r="8" spans="1:13" x14ac:dyDescent="0.25">
      <c r="A8" s="32">
        <v>100</v>
      </c>
      <c r="B8" s="32">
        <v>100</v>
      </c>
      <c r="C8" s="36" t="s">
        <v>96</v>
      </c>
      <c r="D8" s="32">
        <f>ROUNDUP((ROUNDUP($A8*$B8*D$2/$L$3,0)-4)/4+2,0)</f>
        <v>6</v>
      </c>
      <c r="E8" s="32">
        <f>ROUNDUP((ROUNDUP($A8*$B8*E$2/$L$3,0)-4)/4+2,0)</f>
        <v>9</v>
      </c>
      <c r="F8" s="32">
        <f t="shared" ref="F8:J8" si="4">ROUNDUP((ROUNDUP($A8*$B8*F$2/$L$3,0)-4)/4+2,0)</f>
        <v>11</v>
      </c>
      <c r="G8" s="32">
        <f t="shared" si="4"/>
        <v>14</v>
      </c>
      <c r="H8" s="32">
        <f t="shared" si="4"/>
        <v>16</v>
      </c>
      <c r="I8" s="32">
        <f t="shared" si="4"/>
        <v>19</v>
      </c>
      <c r="J8" s="32">
        <f t="shared" si="4"/>
        <v>21</v>
      </c>
    </row>
    <row r="9" spans="1:13" x14ac:dyDescent="0.25">
      <c r="D9" s="38">
        <f>(((D8-2)*4+4)*$L$3)/($A8*$B8)</f>
        <v>1.0134000000000001E-2</v>
      </c>
      <c r="E9" s="38">
        <f t="shared" ref="E9" si="5">(((E8-2)*4+4)*$L$3)/($A8*$B8)</f>
        <v>1.62144E-2</v>
      </c>
      <c r="F9" s="38">
        <f t="shared" ref="F9" si="6">(((F8-2)*4+4)*$L$3)/($A8*$B8)</f>
        <v>2.0268000000000001E-2</v>
      </c>
      <c r="G9" s="38">
        <f t="shared" ref="G9" si="7">(((G8-2)*4+4)*$L$3)/($A8*$B8)</f>
        <v>2.6348400000000004E-2</v>
      </c>
      <c r="H9" s="38">
        <f t="shared" ref="H9" si="8">(((H8-2)*4+4)*$L$3)/($A8*$B8)</f>
        <v>3.0401999999999998E-2</v>
      </c>
      <c r="I9" s="38">
        <f t="shared" ref="I9" si="9">(((I8-2)*4+4)*$L$3)/($A8*$B8)</f>
        <v>3.6482399999999998E-2</v>
      </c>
      <c r="J9" s="38">
        <f t="shared" ref="J9" si="10">(((J8-2)*4+4)*$L$3)/($A8*$B8)</f>
        <v>4.0536000000000003E-2</v>
      </c>
    </row>
    <row r="10" spans="1:13" x14ac:dyDescent="0.25">
      <c r="C10" s="36" t="s">
        <v>97</v>
      </c>
      <c r="D10" s="32">
        <f t="shared" ref="D10:J10" si="11">ROUNDUP((ROUNDUP($A8*$B8*D$2/$M$3,0)-4)/4+2,0)</f>
        <v>5</v>
      </c>
      <c r="E10" s="32">
        <f t="shared" si="11"/>
        <v>6</v>
      </c>
      <c r="F10" s="32">
        <f t="shared" si="11"/>
        <v>8</v>
      </c>
      <c r="G10" s="32">
        <f t="shared" si="11"/>
        <v>9</v>
      </c>
      <c r="H10" s="32">
        <f t="shared" si="11"/>
        <v>11</v>
      </c>
      <c r="I10" s="32">
        <f t="shared" si="11"/>
        <v>12</v>
      </c>
      <c r="J10" s="32">
        <f t="shared" si="11"/>
        <v>14</v>
      </c>
    </row>
    <row r="11" spans="1:13" x14ac:dyDescent="0.25">
      <c r="C11" s="36"/>
      <c r="D11" s="38">
        <f>(((D10-2)*4+4)*$M$3)/($A8*$B8)</f>
        <v>1.3028800000000002E-2</v>
      </c>
      <c r="E11" s="38">
        <f t="shared" ref="E11:J11" si="12">(((E10-2)*4+4)*$M$3)/($A8*$B8)</f>
        <v>1.6286000000000002E-2</v>
      </c>
      <c r="F11" s="38">
        <f t="shared" si="12"/>
        <v>2.2800400000000002E-2</v>
      </c>
      <c r="G11" s="38">
        <f t="shared" si="12"/>
        <v>2.6057600000000004E-2</v>
      </c>
      <c r="H11" s="38">
        <f t="shared" si="12"/>
        <v>3.2572000000000004E-2</v>
      </c>
      <c r="I11" s="38">
        <f t="shared" si="12"/>
        <v>3.5829200000000005E-2</v>
      </c>
      <c r="J11" s="38">
        <f t="shared" si="12"/>
        <v>4.2343600000000002E-2</v>
      </c>
    </row>
    <row r="12" spans="1:13" x14ac:dyDescent="0.25">
      <c r="C12" s="36"/>
    </row>
  </sheetData>
  <mergeCells count="2">
    <mergeCell ref="A1:J1"/>
    <mergeCell ref="L1:M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theme="4"/>
  </sheetPr>
  <dimension ref="A1:E27"/>
  <sheetViews>
    <sheetView workbookViewId="0">
      <selection activeCell="G15" sqref="G15"/>
    </sheetView>
  </sheetViews>
  <sheetFormatPr defaultRowHeight="15.75" x14ac:dyDescent="0.25"/>
  <cols>
    <col min="1" max="1" width="4" style="32" bestFit="1" customWidth="1"/>
    <col min="2" max="2" width="18.375" style="37" bestFit="1" customWidth="1"/>
    <col min="3" max="3" width="16.125" style="37" bestFit="1" customWidth="1"/>
    <col min="4" max="4" width="9.5" style="37" bestFit="1" customWidth="1"/>
    <col min="5" max="5" width="11.625" style="37" bestFit="1" customWidth="1"/>
    <col min="6" max="16384" width="9" style="37"/>
  </cols>
  <sheetData>
    <row r="1" spans="1:5" x14ac:dyDescent="0.25">
      <c r="A1" s="32">
        <v>1</v>
      </c>
      <c r="B1" s="37" t="s">
        <v>104</v>
      </c>
      <c r="C1" s="37" t="s">
        <v>111</v>
      </c>
      <c r="D1" s="37" t="s">
        <v>100</v>
      </c>
    </row>
    <row r="2" spans="1:5" x14ac:dyDescent="0.25">
      <c r="A2" s="32">
        <v>2</v>
      </c>
      <c r="B2" s="37" t="s">
        <v>112</v>
      </c>
    </row>
    <row r="3" spans="1:5" x14ac:dyDescent="0.25">
      <c r="A3" s="32">
        <v>3</v>
      </c>
      <c r="B3" s="37" t="s">
        <v>113</v>
      </c>
      <c r="C3" s="37" t="s">
        <v>114</v>
      </c>
    </row>
    <row r="4" spans="1:5" x14ac:dyDescent="0.25">
      <c r="A4" s="32">
        <v>4</v>
      </c>
      <c r="B4" s="37" t="s">
        <v>115</v>
      </c>
      <c r="C4" s="37" t="s">
        <v>105</v>
      </c>
    </row>
    <row r="5" spans="1:5" x14ac:dyDescent="0.25">
      <c r="A5" s="32">
        <v>5</v>
      </c>
      <c r="B5" s="37" t="s">
        <v>106</v>
      </c>
      <c r="C5" s="37" t="s">
        <v>107</v>
      </c>
    </row>
    <row r="6" spans="1:5" x14ac:dyDescent="0.25">
      <c r="A6" s="32">
        <v>6</v>
      </c>
      <c r="B6" s="37" t="s">
        <v>108</v>
      </c>
      <c r="C6" s="37" t="s">
        <v>101</v>
      </c>
    </row>
    <row r="7" spans="1:5" x14ac:dyDescent="0.25">
      <c r="A7" s="32">
        <v>7</v>
      </c>
      <c r="B7" s="37" t="s">
        <v>103</v>
      </c>
    </row>
    <row r="8" spans="1:5" x14ac:dyDescent="0.25">
      <c r="A8" s="32">
        <v>8</v>
      </c>
      <c r="B8" s="37" t="s">
        <v>116</v>
      </c>
      <c r="C8" s="37" t="s">
        <v>122</v>
      </c>
      <c r="D8" s="37" t="s">
        <v>109</v>
      </c>
      <c r="E8" s="37" t="s">
        <v>117</v>
      </c>
    </row>
    <row r="9" spans="1:5" x14ac:dyDescent="0.25">
      <c r="A9" s="32">
        <v>9</v>
      </c>
      <c r="B9" s="37" t="s">
        <v>102</v>
      </c>
      <c r="C9" s="37" t="s">
        <v>118</v>
      </c>
      <c r="D9" s="37" t="s">
        <v>119</v>
      </c>
      <c r="E9" s="37" t="s">
        <v>120</v>
      </c>
    </row>
    <row r="10" spans="1:5" x14ac:dyDescent="0.25">
      <c r="A10" s="32">
        <v>10</v>
      </c>
      <c r="B10" s="37" t="s">
        <v>121</v>
      </c>
      <c r="C10" s="37" t="s">
        <v>123</v>
      </c>
    </row>
    <row r="11" spans="1:5" x14ac:dyDescent="0.25">
      <c r="A11" s="32">
        <v>11</v>
      </c>
      <c r="B11" s="37" t="s">
        <v>127</v>
      </c>
    </row>
    <row r="12" spans="1:5" x14ac:dyDescent="0.25">
      <c r="A12" s="32">
        <v>12</v>
      </c>
      <c r="B12" s="37" t="s">
        <v>124</v>
      </c>
    </row>
    <row r="13" spans="1:5" x14ac:dyDescent="0.25">
      <c r="A13" s="32">
        <v>13</v>
      </c>
      <c r="B13" s="37" t="s">
        <v>125</v>
      </c>
      <c r="C13" s="37" t="s">
        <v>110</v>
      </c>
    </row>
    <row r="14" spans="1:5" x14ac:dyDescent="0.25">
      <c r="A14" s="32">
        <v>14</v>
      </c>
      <c r="B14" s="37" t="s">
        <v>126</v>
      </c>
    </row>
    <row r="15" spans="1:5" x14ac:dyDescent="0.25">
      <c r="A15" s="32">
        <v>15</v>
      </c>
    </row>
    <row r="16" spans="1:5" x14ac:dyDescent="0.25">
      <c r="A16" s="32">
        <v>16</v>
      </c>
    </row>
    <row r="17" spans="1:1" x14ac:dyDescent="0.25">
      <c r="A17" s="32">
        <v>17</v>
      </c>
    </row>
    <row r="18" spans="1:1" x14ac:dyDescent="0.25">
      <c r="A18" s="32">
        <v>18</v>
      </c>
    </row>
    <row r="19" spans="1:1" x14ac:dyDescent="0.25">
      <c r="A19" s="32">
        <v>19</v>
      </c>
    </row>
    <row r="20" spans="1:1" x14ac:dyDescent="0.25">
      <c r="A20" s="32">
        <v>20</v>
      </c>
    </row>
    <row r="21" spans="1:1" x14ac:dyDescent="0.25">
      <c r="A21" s="32">
        <v>21</v>
      </c>
    </row>
    <row r="22" spans="1:1" x14ac:dyDescent="0.25">
      <c r="A22" s="32">
        <v>22</v>
      </c>
    </row>
    <row r="23" spans="1:1" x14ac:dyDescent="0.25">
      <c r="A23" s="32">
        <v>23</v>
      </c>
    </row>
    <row r="24" spans="1:1" x14ac:dyDescent="0.25">
      <c r="A24" s="32">
        <v>24</v>
      </c>
    </row>
    <row r="25" spans="1:1" x14ac:dyDescent="0.25">
      <c r="A25" s="32">
        <v>25</v>
      </c>
    </row>
    <row r="26" spans="1:1" x14ac:dyDescent="0.25">
      <c r="A26" s="32">
        <v>26</v>
      </c>
    </row>
    <row r="27" spans="1:1" x14ac:dyDescent="0.25">
      <c r="A27" s="32">
        <v>27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theme="4"/>
  </sheetPr>
  <dimension ref="A2:L25"/>
  <sheetViews>
    <sheetView workbookViewId="0">
      <selection activeCell="E18" sqref="E18"/>
    </sheetView>
  </sheetViews>
  <sheetFormatPr defaultColWidth="9" defaultRowHeight="18" customHeight="1" x14ac:dyDescent="0.25"/>
  <cols>
    <col min="1" max="2" width="9" style="18"/>
    <col min="3" max="3" width="10" style="18" bestFit="1" customWidth="1"/>
    <col min="4" max="4" width="9" style="24"/>
    <col min="5" max="5" width="9" style="12"/>
    <col min="6" max="16384" width="9" style="18"/>
  </cols>
  <sheetData>
    <row r="2" spans="1:12" ht="18" customHeight="1" x14ac:dyDescent="0.25">
      <c r="G2" s="19" t="s">
        <v>87</v>
      </c>
      <c r="H2" s="20">
        <v>1</v>
      </c>
      <c r="I2" s="25" t="s">
        <v>88</v>
      </c>
      <c r="J2" s="26"/>
      <c r="K2" s="26"/>
      <c r="L2" s="27"/>
    </row>
    <row r="3" spans="1:12" ht="18" customHeight="1" x14ac:dyDescent="0.25">
      <c r="G3" s="28"/>
      <c r="H3" s="21">
        <v>2</v>
      </c>
      <c r="I3" s="29" t="s">
        <v>89</v>
      </c>
      <c r="J3" s="30"/>
      <c r="K3" s="30"/>
      <c r="L3" s="31"/>
    </row>
    <row r="14" spans="1:12" ht="18" customHeight="1" x14ac:dyDescent="0.25">
      <c r="A14" s="24" t="s">
        <v>0</v>
      </c>
      <c r="B14" s="24" t="s">
        <v>23</v>
      </c>
      <c r="C14" s="24" t="s">
        <v>90</v>
      </c>
      <c r="D14" s="24" t="s">
        <v>24</v>
      </c>
      <c r="E14" s="12" t="s">
        <v>22</v>
      </c>
      <c r="F14" s="18" t="s">
        <v>25</v>
      </c>
      <c r="G14" s="18" t="s">
        <v>26</v>
      </c>
      <c r="H14" s="18" t="s">
        <v>20</v>
      </c>
      <c r="I14" s="12" t="s">
        <v>27</v>
      </c>
      <c r="J14" s="18" t="s">
        <v>26</v>
      </c>
      <c r="K14" s="18" t="s">
        <v>38</v>
      </c>
    </row>
    <row r="15" spans="1:12" ht="18" customHeight="1" x14ac:dyDescent="0.25">
      <c r="A15" s="24" t="s">
        <v>15</v>
      </c>
      <c r="B15" s="24">
        <v>0</v>
      </c>
      <c r="C15" s="24">
        <v>0.6</v>
      </c>
      <c r="D15" s="24">
        <v>1</v>
      </c>
      <c r="E15" s="12" t="str">
        <f>IFERROR(VLOOKUP($A15,'Assembled Point Masses'!A:D,3,FALSE),"")</f>
        <v/>
      </c>
      <c r="F15" s="18">
        <f>IF(OR(B15="",C15="",D15=""),"",0.1*(1-B15/40)*C15*D15)</f>
        <v>0.06</v>
      </c>
      <c r="G15" s="18" t="str">
        <f>IF(E15="","",E15*9.81)</f>
        <v/>
      </c>
      <c r="H15" s="18" t="str">
        <f>IF(OR(F15="",G15=""),"",F15*G15)</f>
        <v/>
      </c>
      <c r="I15" s="12" t="str">
        <f>IFERROR(VLOOKUP($A15,'Assembled Point Masses'!A:D,4,FALSE),"")</f>
        <v/>
      </c>
      <c r="J15" s="18" t="str">
        <f>IF(I15="","",I15*9.81)</f>
        <v/>
      </c>
      <c r="K15" s="18" t="str">
        <f>IF(OR(F15="",I15=""),"",F15*J15)</f>
        <v/>
      </c>
    </row>
    <row r="16" spans="1:12" ht="18" customHeight="1" x14ac:dyDescent="0.25">
      <c r="A16" s="24" t="s">
        <v>39</v>
      </c>
      <c r="B16" s="24"/>
      <c r="C16" s="12" t="str">
        <f>IF(B16="","",#REF!)</f>
        <v/>
      </c>
      <c r="D16" s="12" t="str">
        <f>IF(C16="","",#REF!)</f>
        <v/>
      </c>
      <c r="E16" s="12" t="str">
        <f>IFERROR(VLOOKUP($A16,'Assembled Point Masses'!A:D,3,FALSE),"")</f>
        <v/>
      </c>
      <c r="F16" s="18" t="str">
        <f t="shared" ref="F16:F25" si="0">IF(OR(B16="",C16="",D16=""),"",0.1*(1-B16/40)*C16*D16)</f>
        <v/>
      </c>
      <c r="G16" s="18" t="str">
        <f t="shared" ref="G16:G25" si="1">IF(E16="","",E16*9.81)</f>
        <v/>
      </c>
      <c r="H16" s="18" t="str">
        <f>IF(F16="","",G16*F16)</f>
        <v/>
      </c>
      <c r="I16" s="12" t="str">
        <f>IFERROR(VLOOKUP($A16,'Assembled Point Masses'!A:D,4,FALSE),"")</f>
        <v/>
      </c>
      <c r="J16" s="18" t="str">
        <f t="shared" ref="J16:J25" si="2">IF(I16="","",I16*9.81)</f>
        <v/>
      </c>
      <c r="K16" s="18" t="str">
        <f>IF(OR(F16="",I16=""),"",F16*J16)</f>
        <v/>
      </c>
    </row>
    <row r="17" spans="1:11" ht="18" customHeight="1" x14ac:dyDescent="0.25">
      <c r="A17" s="24" t="s">
        <v>40</v>
      </c>
      <c r="B17" s="24"/>
      <c r="C17" s="12" t="str">
        <f>IF(B17="","",#REF!)</f>
        <v/>
      </c>
      <c r="D17" s="12" t="str">
        <f>IF(C17="","",#REF!)</f>
        <v/>
      </c>
      <c r="E17" s="12" t="str">
        <f>IFERROR(VLOOKUP($A17,'Assembled Point Masses'!A:D,3,FALSE),"")</f>
        <v/>
      </c>
      <c r="F17" s="18" t="str">
        <f t="shared" si="0"/>
        <v/>
      </c>
      <c r="G17" s="18" t="str">
        <f t="shared" si="1"/>
        <v/>
      </c>
      <c r="H17" s="18" t="str">
        <f>IF(F17="","",G17*F17)</f>
        <v/>
      </c>
      <c r="I17" s="12" t="str">
        <f>IFERROR(VLOOKUP($A17,'Assembled Point Masses'!A:D,4,FALSE),"")</f>
        <v/>
      </c>
      <c r="J17" s="18" t="str">
        <f t="shared" si="2"/>
        <v/>
      </c>
      <c r="K17" s="18" t="str">
        <f>IF(OR(F17="",I17=""),"",F17*J17)</f>
        <v/>
      </c>
    </row>
    <row r="18" spans="1:11" ht="18" customHeight="1" x14ac:dyDescent="0.25">
      <c r="A18" s="24" t="s">
        <v>41</v>
      </c>
      <c r="B18" s="24"/>
      <c r="C18" s="12" t="str">
        <f>IF(B18="","",#REF!)</f>
        <v/>
      </c>
      <c r="D18" s="12" t="str">
        <f>IF(C18="","",#REF!)</f>
        <v/>
      </c>
      <c r="E18" s="12" t="str">
        <f>IFERROR(VLOOKUP($A18,'Assembled Point Masses'!A:D,3,FALSE),"")</f>
        <v/>
      </c>
      <c r="F18" s="18" t="str">
        <f t="shared" si="0"/>
        <v/>
      </c>
      <c r="G18" s="18" t="str">
        <f t="shared" si="1"/>
        <v/>
      </c>
      <c r="H18" s="18" t="str">
        <f t="shared" ref="H18:H25" si="3">IF(F18="","",G18*F18)</f>
        <v/>
      </c>
      <c r="I18" s="12" t="str">
        <f>IFERROR(VLOOKUP($A18,'Assembled Point Masses'!A:D,4,FALSE),"")</f>
        <v/>
      </c>
      <c r="J18" s="18" t="str">
        <f t="shared" si="2"/>
        <v/>
      </c>
      <c r="K18" s="18" t="str">
        <f t="shared" ref="K18:K25" si="4">IF(OR(F18="",I18=""),"",F18*J18)</f>
        <v/>
      </c>
    </row>
    <row r="19" spans="1:11" ht="18" customHeight="1" x14ac:dyDescent="0.25">
      <c r="A19" s="24" t="s">
        <v>42</v>
      </c>
      <c r="B19" s="24"/>
      <c r="C19" s="12" t="str">
        <f>IF(B19="","",#REF!)</f>
        <v/>
      </c>
      <c r="D19" s="12" t="str">
        <f>IF(C19="","",#REF!)</f>
        <v/>
      </c>
      <c r="E19" s="12" t="str">
        <f>IFERROR(VLOOKUP($A19,'Assembled Point Masses'!A:D,3,FALSE),"")</f>
        <v/>
      </c>
      <c r="F19" s="18" t="str">
        <f t="shared" si="0"/>
        <v/>
      </c>
      <c r="G19" s="18" t="str">
        <f t="shared" si="1"/>
        <v/>
      </c>
      <c r="H19" s="18" t="str">
        <f t="shared" si="3"/>
        <v/>
      </c>
      <c r="I19" s="12" t="str">
        <f>IFERROR(VLOOKUP($A19,'Assembled Point Masses'!A:D,4,FALSE),"")</f>
        <v/>
      </c>
      <c r="J19" s="18" t="str">
        <f t="shared" si="2"/>
        <v/>
      </c>
      <c r="K19" s="18" t="str">
        <f t="shared" si="4"/>
        <v/>
      </c>
    </row>
    <row r="20" spans="1:11" ht="18" customHeight="1" x14ac:dyDescent="0.25">
      <c r="A20" s="24" t="s">
        <v>43</v>
      </c>
      <c r="B20" s="24"/>
      <c r="C20" s="12" t="str">
        <f>IF(B20="","",#REF!)</f>
        <v/>
      </c>
      <c r="D20" s="12" t="str">
        <f>IF(C20="","",#REF!)</f>
        <v/>
      </c>
      <c r="E20" s="12" t="str">
        <f>IFERROR(VLOOKUP($A20,'Assembled Point Masses'!A:D,3,FALSE),"")</f>
        <v/>
      </c>
      <c r="F20" s="18" t="str">
        <f t="shared" si="0"/>
        <v/>
      </c>
      <c r="G20" s="18" t="str">
        <f t="shared" si="1"/>
        <v/>
      </c>
      <c r="H20" s="18" t="str">
        <f t="shared" si="3"/>
        <v/>
      </c>
      <c r="I20" s="12" t="str">
        <f>IFERROR(VLOOKUP($A20,'Assembled Point Masses'!A:D,4,FALSE),"")</f>
        <v/>
      </c>
      <c r="J20" s="18" t="str">
        <f t="shared" si="2"/>
        <v/>
      </c>
      <c r="K20" s="18" t="str">
        <f t="shared" si="4"/>
        <v/>
      </c>
    </row>
    <row r="21" spans="1:11" ht="18" customHeight="1" x14ac:dyDescent="0.25">
      <c r="A21" s="24" t="s">
        <v>60</v>
      </c>
      <c r="B21" s="24"/>
      <c r="C21" s="12" t="str">
        <f>IF(B21="","",#REF!)</f>
        <v/>
      </c>
      <c r="D21" s="12" t="str">
        <f>IF(C21="","",#REF!)</f>
        <v/>
      </c>
      <c r="E21" s="12" t="str">
        <f>IFERROR(VLOOKUP($A21,'Assembled Point Masses'!A:D,3,FALSE),"")</f>
        <v/>
      </c>
      <c r="F21" s="18" t="str">
        <f t="shared" si="0"/>
        <v/>
      </c>
      <c r="G21" s="18" t="str">
        <f t="shared" si="1"/>
        <v/>
      </c>
      <c r="H21" s="18" t="str">
        <f t="shared" si="3"/>
        <v/>
      </c>
      <c r="I21" s="12" t="str">
        <f>IFERROR(VLOOKUP($A21,'Assembled Point Masses'!A:D,4,FALSE),"")</f>
        <v/>
      </c>
      <c r="J21" s="18" t="str">
        <f t="shared" si="2"/>
        <v/>
      </c>
      <c r="K21" s="18" t="str">
        <f t="shared" si="4"/>
        <v/>
      </c>
    </row>
    <row r="22" spans="1:11" ht="18" customHeight="1" x14ac:dyDescent="0.25">
      <c r="A22" s="24" t="s">
        <v>61</v>
      </c>
      <c r="B22" s="24"/>
      <c r="C22" s="12" t="str">
        <f>IF(B22="","",#REF!)</f>
        <v/>
      </c>
      <c r="D22" s="12" t="str">
        <f>IF(C22="","",#REF!)</f>
        <v/>
      </c>
      <c r="E22" s="12" t="str">
        <f>IFERROR(VLOOKUP($A22,'Assembled Point Masses'!A:D,3,FALSE),"")</f>
        <v/>
      </c>
      <c r="F22" s="18" t="str">
        <f t="shared" si="0"/>
        <v/>
      </c>
      <c r="G22" s="18" t="str">
        <f t="shared" si="1"/>
        <v/>
      </c>
      <c r="H22" s="18" t="str">
        <f t="shared" si="3"/>
        <v/>
      </c>
      <c r="I22" s="12" t="str">
        <f>IFERROR(VLOOKUP($A22,'Assembled Point Masses'!A:D,4,FALSE),"")</f>
        <v/>
      </c>
      <c r="J22" s="18" t="str">
        <f t="shared" si="2"/>
        <v/>
      </c>
      <c r="K22" s="18" t="str">
        <f t="shared" si="4"/>
        <v/>
      </c>
    </row>
    <row r="23" spans="1:11" ht="18" customHeight="1" x14ac:dyDescent="0.25">
      <c r="A23" s="24" t="s">
        <v>62</v>
      </c>
      <c r="B23" s="24"/>
      <c r="C23" s="12" t="str">
        <f>IF(B23="","",#REF!)</f>
        <v/>
      </c>
      <c r="D23" s="12" t="str">
        <f>IF(C23="","",#REF!)</f>
        <v/>
      </c>
      <c r="E23" s="12" t="str">
        <f>IFERROR(VLOOKUP($A23,'Assembled Point Masses'!A:D,3,FALSE),"")</f>
        <v/>
      </c>
      <c r="F23" s="18" t="str">
        <f t="shared" si="0"/>
        <v/>
      </c>
      <c r="G23" s="18" t="str">
        <f t="shared" si="1"/>
        <v/>
      </c>
      <c r="H23" s="18" t="str">
        <f t="shared" si="3"/>
        <v/>
      </c>
      <c r="I23" s="12" t="str">
        <f>IFERROR(VLOOKUP($A23,'Assembled Point Masses'!A:D,4,FALSE),"")</f>
        <v/>
      </c>
      <c r="J23" s="18" t="str">
        <f t="shared" si="2"/>
        <v/>
      </c>
      <c r="K23" s="18" t="str">
        <f t="shared" si="4"/>
        <v/>
      </c>
    </row>
    <row r="24" spans="1:11" ht="18" customHeight="1" x14ac:dyDescent="0.25">
      <c r="A24" s="24" t="s">
        <v>63</v>
      </c>
      <c r="B24" s="24"/>
      <c r="C24" s="12" t="str">
        <f>IF(B24="","",#REF!)</f>
        <v/>
      </c>
      <c r="D24" s="12" t="str">
        <f>IF(C24="","",#REF!)</f>
        <v/>
      </c>
      <c r="E24" s="12" t="str">
        <f>IFERROR(VLOOKUP($A24,'Assembled Point Masses'!A:D,3,FALSE),"")</f>
        <v/>
      </c>
      <c r="F24" s="18" t="str">
        <f t="shared" si="0"/>
        <v/>
      </c>
      <c r="G24" s="18" t="str">
        <f t="shared" si="1"/>
        <v/>
      </c>
      <c r="H24" s="18" t="str">
        <f t="shared" si="3"/>
        <v/>
      </c>
      <c r="I24" s="12" t="str">
        <f>IFERROR(VLOOKUP($A24,'Assembled Point Masses'!A:D,4,FALSE),"")</f>
        <v/>
      </c>
      <c r="J24" s="18" t="str">
        <f t="shared" si="2"/>
        <v/>
      </c>
      <c r="K24" s="18" t="str">
        <f t="shared" si="4"/>
        <v/>
      </c>
    </row>
    <row r="25" spans="1:11" ht="18" customHeight="1" x14ac:dyDescent="0.25">
      <c r="A25" s="24" t="s">
        <v>64</v>
      </c>
      <c r="B25" s="24"/>
      <c r="C25" s="12" t="str">
        <f>IF(B25="","",#REF!)</f>
        <v/>
      </c>
      <c r="D25" s="12" t="str">
        <f>IF(C25="","",#REF!)</f>
        <v/>
      </c>
      <c r="E25" s="12" t="str">
        <f>IFERROR(VLOOKUP($A25,'Assembled Point Masses'!A:D,3,FALSE),"")</f>
        <v/>
      </c>
      <c r="F25" s="18" t="str">
        <f t="shared" si="0"/>
        <v/>
      </c>
      <c r="G25" s="18" t="str">
        <f t="shared" si="1"/>
        <v/>
      </c>
      <c r="H25" s="18" t="str">
        <f t="shared" si="3"/>
        <v/>
      </c>
      <c r="I25" s="12" t="str">
        <f>IFERROR(VLOOKUP($A25,'Assembled Point Masses'!A:D,4,FALSE),"")</f>
        <v/>
      </c>
      <c r="J25" s="18" t="str">
        <f t="shared" si="2"/>
        <v/>
      </c>
      <c r="K25" s="18" t="str">
        <f t="shared" si="4"/>
        <v/>
      </c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>
    <tabColor theme="6" tint="0.39997558519241921"/>
  </sheetPr>
  <dimension ref="B2:E32"/>
  <sheetViews>
    <sheetView workbookViewId="0"/>
  </sheetViews>
  <sheetFormatPr defaultColWidth="8.625" defaultRowHeight="15.75" x14ac:dyDescent="0.25"/>
  <cols>
    <col min="1" max="1" width="8.625" style="7"/>
    <col min="2" max="2" width="16.375" style="7" customWidth="1"/>
    <col min="3" max="3" width="12.375" style="7" customWidth="1"/>
    <col min="4" max="16384" width="8.625" style="7"/>
  </cols>
  <sheetData>
    <row r="2" spans="2:5" x14ac:dyDescent="0.25">
      <c r="B2" s="2" t="s">
        <v>44</v>
      </c>
      <c r="C2" s="23" t="s">
        <v>54</v>
      </c>
    </row>
    <row r="3" spans="2:5" x14ac:dyDescent="0.25">
      <c r="B3" s="2" t="s">
        <v>45</v>
      </c>
      <c r="C3" s="8" t="s">
        <v>80</v>
      </c>
    </row>
    <row r="4" spans="2:5" x14ac:dyDescent="0.25">
      <c r="B4" s="2"/>
      <c r="C4" s="7" t="s">
        <v>46</v>
      </c>
    </row>
    <row r="5" spans="2:5" x14ac:dyDescent="0.25">
      <c r="B5" s="3"/>
    </row>
    <row r="6" spans="2:5" s="9" customFormat="1" ht="16.5" thickBot="1" x14ac:dyDescent="0.3">
      <c r="B6" s="4"/>
    </row>
    <row r="7" spans="2:5" ht="16.5" thickTop="1" x14ac:dyDescent="0.25">
      <c r="B7" s="2" t="str">
        <f>"Welcome to the version "&amp;C3&amp;" release of "&amp;C2&amp;". There are a number of significant updates in this version that we hope you will like, some of the key highlights include:"</f>
        <v>Welcome to the version 2.0.2 release of Etabs Scan. There are a number of significant updates in this version that we hope you will like, some of the key highlights include:</v>
      </c>
    </row>
    <row r="9" spans="2:5" x14ac:dyDescent="0.25">
      <c r="B9" s="10">
        <v>43449</v>
      </c>
      <c r="C9" s="7" t="s">
        <v>65</v>
      </c>
      <c r="D9" s="7">
        <v>1</v>
      </c>
      <c r="E9" s="7" t="s">
        <v>81</v>
      </c>
    </row>
    <row r="12" spans="2:5" x14ac:dyDescent="0.25">
      <c r="B12" s="10">
        <v>43297</v>
      </c>
      <c r="C12" s="7" t="s">
        <v>58</v>
      </c>
      <c r="D12" s="7">
        <v>1</v>
      </c>
      <c r="E12" s="2" t="s">
        <v>82</v>
      </c>
    </row>
    <row r="14" spans="2:5" x14ac:dyDescent="0.25">
      <c r="B14" s="10">
        <v>43280</v>
      </c>
      <c r="C14" s="7" t="s">
        <v>57</v>
      </c>
      <c r="D14" s="7">
        <v>1</v>
      </c>
      <c r="E14" s="2" t="s">
        <v>83</v>
      </c>
    </row>
    <row r="15" spans="2:5" x14ac:dyDescent="0.25">
      <c r="D15" s="7">
        <v>2</v>
      </c>
      <c r="E15" s="2" t="s">
        <v>84</v>
      </c>
    </row>
    <row r="16" spans="2:5" x14ac:dyDescent="0.25">
      <c r="D16" s="7">
        <v>3</v>
      </c>
      <c r="E16" s="2" t="s">
        <v>85</v>
      </c>
    </row>
    <row r="17" spans="2:5" x14ac:dyDescent="0.25">
      <c r="E17" s="2"/>
    </row>
    <row r="18" spans="2:5" x14ac:dyDescent="0.25">
      <c r="E18" s="2"/>
    </row>
    <row r="19" spans="2:5" x14ac:dyDescent="0.25">
      <c r="B19" s="10">
        <v>42672</v>
      </c>
      <c r="C19" s="7" t="s">
        <v>51</v>
      </c>
      <c r="D19" s="7">
        <v>1</v>
      </c>
      <c r="E19" s="2" t="s">
        <v>66</v>
      </c>
    </row>
    <row r="20" spans="2:5" x14ac:dyDescent="0.25">
      <c r="D20" s="7">
        <v>2</v>
      </c>
      <c r="E20" s="2" t="s">
        <v>67</v>
      </c>
    </row>
    <row r="21" spans="2:5" x14ac:dyDescent="0.25">
      <c r="D21" s="7">
        <v>3</v>
      </c>
      <c r="E21" s="2" t="s">
        <v>68</v>
      </c>
    </row>
    <row r="22" spans="2:5" x14ac:dyDescent="0.25">
      <c r="D22" s="7">
        <v>4</v>
      </c>
      <c r="E22" s="2" t="s">
        <v>69</v>
      </c>
    </row>
    <row r="23" spans="2:5" x14ac:dyDescent="0.25">
      <c r="D23" s="7">
        <v>5</v>
      </c>
      <c r="E23" s="2" t="s">
        <v>70</v>
      </c>
    </row>
    <row r="24" spans="2:5" x14ac:dyDescent="0.25">
      <c r="B24" s="10">
        <v>42611</v>
      </c>
      <c r="C24" s="7" t="s">
        <v>50</v>
      </c>
      <c r="D24" s="7">
        <v>1</v>
      </c>
      <c r="E24" s="2" t="s">
        <v>71</v>
      </c>
    </row>
    <row r="25" spans="2:5" x14ac:dyDescent="0.25">
      <c r="D25" s="7">
        <v>2</v>
      </c>
      <c r="E25" s="2" t="s">
        <v>72</v>
      </c>
    </row>
    <row r="26" spans="2:5" x14ac:dyDescent="0.25">
      <c r="B26" s="10">
        <v>42607</v>
      </c>
      <c r="C26" s="7" t="s">
        <v>49</v>
      </c>
      <c r="D26" s="7">
        <v>1</v>
      </c>
      <c r="E26" s="2" t="s">
        <v>73</v>
      </c>
    </row>
    <row r="27" spans="2:5" x14ac:dyDescent="0.25">
      <c r="B27" s="10">
        <v>42606</v>
      </c>
      <c r="C27" s="7" t="s">
        <v>48</v>
      </c>
      <c r="D27" s="7">
        <v>1</v>
      </c>
      <c r="E27" s="2" t="s">
        <v>74</v>
      </c>
    </row>
    <row r="28" spans="2:5" x14ac:dyDescent="0.25">
      <c r="B28" s="6">
        <v>42592</v>
      </c>
      <c r="C28" s="5" t="s">
        <v>47</v>
      </c>
      <c r="D28" s="5">
        <v>1</v>
      </c>
      <c r="E28" s="15" t="s">
        <v>75</v>
      </c>
    </row>
    <row r="29" spans="2:5" x14ac:dyDescent="0.25">
      <c r="D29" s="7">
        <v>2</v>
      </c>
      <c r="E29" s="2" t="s">
        <v>76</v>
      </c>
    </row>
    <row r="30" spans="2:5" x14ac:dyDescent="0.25">
      <c r="D30" s="7">
        <v>3</v>
      </c>
      <c r="E30" s="2" t="s">
        <v>77</v>
      </c>
    </row>
    <row r="31" spans="2:5" x14ac:dyDescent="0.25">
      <c r="D31" s="7">
        <v>4</v>
      </c>
      <c r="E31" s="2" t="s">
        <v>78</v>
      </c>
    </row>
    <row r="32" spans="2:5" x14ac:dyDescent="0.25">
      <c r="D32" s="7">
        <v>5</v>
      </c>
      <c r="E32" s="2" t="s">
        <v>79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 filterMode="1"/>
  <dimension ref="A1:I169"/>
  <sheetViews>
    <sheetView workbookViewId="0">
      <selection activeCell="D3" sqref="D3:D169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29</v>
      </c>
      <c r="B2" s="1" t="s">
        <v>9</v>
      </c>
      <c r="C2" s="1" t="s">
        <v>18</v>
      </c>
      <c r="D2" s="1">
        <v>291.60000000000002</v>
      </c>
      <c r="E2" s="1">
        <v>0</v>
      </c>
      <c r="F2" s="1">
        <v>0</v>
      </c>
      <c r="G2" s="1">
        <v>0</v>
      </c>
      <c r="H2" s="1">
        <v>0</v>
      </c>
      <c r="I2" s="1">
        <v>-3936.6</v>
      </c>
    </row>
    <row r="3" spans="1:9" x14ac:dyDescent="0.25">
      <c r="A3" s="1" t="s">
        <v>29</v>
      </c>
      <c r="B3" s="1" t="s">
        <v>9</v>
      </c>
      <c r="C3" s="1" t="s">
        <v>10</v>
      </c>
      <c r="D3" s="1">
        <v>291.60000000000002</v>
      </c>
      <c r="E3" s="1">
        <v>0</v>
      </c>
      <c r="F3" s="1">
        <v>0</v>
      </c>
      <c r="G3" s="1">
        <v>0</v>
      </c>
      <c r="H3" s="1">
        <v>0</v>
      </c>
      <c r="I3" s="1">
        <v>-3936.6</v>
      </c>
    </row>
    <row r="4" spans="1:9" hidden="1" x14ac:dyDescent="0.25">
      <c r="A4" s="1" t="s">
        <v>29</v>
      </c>
      <c r="B4" s="1" t="s">
        <v>19</v>
      </c>
      <c r="C4" s="1" t="s">
        <v>18</v>
      </c>
      <c r="D4" s="1">
        <v>72.900000000000006</v>
      </c>
      <c r="E4" s="1">
        <v>0</v>
      </c>
      <c r="F4" s="1">
        <v>0</v>
      </c>
      <c r="G4" s="1">
        <v>0</v>
      </c>
      <c r="H4" s="1">
        <v>0</v>
      </c>
      <c r="I4" s="1">
        <v>-984.15</v>
      </c>
    </row>
    <row r="5" spans="1:9" hidden="1" x14ac:dyDescent="0.25">
      <c r="A5" s="1" t="s">
        <v>29</v>
      </c>
      <c r="B5" s="1" t="s">
        <v>19</v>
      </c>
      <c r="C5" s="1" t="s">
        <v>10</v>
      </c>
      <c r="D5" s="1">
        <v>72.900000000000006</v>
      </c>
      <c r="E5" s="1">
        <v>0</v>
      </c>
      <c r="F5" s="1">
        <v>0</v>
      </c>
      <c r="G5" s="1">
        <v>0</v>
      </c>
      <c r="H5" s="1">
        <v>0</v>
      </c>
      <c r="I5" s="1">
        <v>-984.15</v>
      </c>
    </row>
    <row r="6" spans="1:9" hidden="1" x14ac:dyDescent="0.25">
      <c r="A6" s="1" t="s">
        <v>29</v>
      </c>
      <c r="B6" s="1" t="s">
        <v>92</v>
      </c>
      <c r="C6" s="1" t="s">
        <v>18</v>
      </c>
      <c r="D6" s="1">
        <v>0</v>
      </c>
      <c r="E6" s="1">
        <v>-34.58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29</v>
      </c>
      <c r="B7" s="1" t="s">
        <v>92</v>
      </c>
      <c r="C7" s="1" t="s">
        <v>10</v>
      </c>
      <c r="D7" s="1">
        <v>0</v>
      </c>
      <c r="E7" s="1">
        <v>-34.58</v>
      </c>
      <c r="F7" s="1">
        <v>0</v>
      </c>
      <c r="G7" s="1">
        <v>0</v>
      </c>
      <c r="H7" s="1">
        <v>0</v>
      </c>
      <c r="I7" s="1">
        <v>-139.57</v>
      </c>
    </row>
    <row r="8" spans="1:9" hidden="1" x14ac:dyDescent="0.25">
      <c r="A8" s="1" t="s">
        <v>29</v>
      </c>
      <c r="B8" s="1" t="s">
        <v>11</v>
      </c>
      <c r="C8" s="1" t="s">
        <v>18</v>
      </c>
      <c r="D8" s="1">
        <v>0</v>
      </c>
      <c r="E8" s="1">
        <v>38.51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29</v>
      </c>
      <c r="B9" s="1" t="s">
        <v>11</v>
      </c>
      <c r="C9" s="1" t="s">
        <v>10</v>
      </c>
      <c r="D9" s="1">
        <v>0</v>
      </c>
      <c r="E9" s="1">
        <v>38.51</v>
      </c>
      <c r="F9" s="1">
        <v>0</v>
      </c>
      <c r="G9" s="1">
        <v>0</v>
      </c>
      <c r="H9" s="1">
        <v>0</v>
      </c>
      <c r="I9" s="1">
        <v>155.20699999999999</v>
      </c>
    </row>
    <row r="10" spans="1:9" hidden="1" x14ac:dyDescent="0.25">
      <c r="A10" s="1" t="s">
        <v>29</v>
      </c>
      <c r="B10" s="1" t="s">
        <v>12</v>
      </c>
      <c r="C10" s="1" t="s">
        <v>18</v>
      </c>
      <c r="D10" s="1">
        <v>34.380000000000003</v>
      </c>
      <c r="E10" s="1">
        <v>0</v>
      </c>
      <c r="F10" s="1">
        <v>0</v>
      </c>
      <c r="G10" s="1">
        <v>0</v>
      </c>
      <c r="H10" s="1">
        <v>0</v>
      </c>
      <c r="I10" s="1">
        <v>-464.125</v>
      </c>
    </row>
    <row r="11" spans="1:9" hidden="1" x14ac:dyDescent="0.25">
      <c r="A11" s="1" t="s">
        <v>29</v>
      </c>
      <c r="B11" s="1" t="s">
        <v>12</v>
      </c>
      <c r="C11" s="1" t="s">
        <v>10</v>
      </c>
      <c r="D11" s="1">
        <v>34.380000000000003</v>
      </c>
      <c r="E11" s="1">
        <v>0</v>
      </c>
      <c r="F11" s="1">
        <v>0</v>
      </c>
      <c r="G11" s="1">
        <v>0</v>
      </c>
      <c r="H11" s="1">
        <v>0</v>
      </c>
      <c r="I11" s="1">
        <v>-464.125</v>
      </c>
    </row>
    <row r="12" spans="1:9" hidden="1" x14ac:dyDescent="0.25">
      <c r="A12" s="1" t="s">
        <v>29</v>
      </c>
      <c r="B12" s="1" t="s">
        <v>13</v>
      </c>
      <c r="C12" s="1" t="s">
        <v>18</v>
      </c>
      <c r="D12" s="1">
        <v>0</v>
      </c>
      <c r="E12" s="1">
        <v>46.69</v>
      </c>
      <c r="F12" s="1">
        <v>0</v>
      </c>
      <c r="G12" s="1">
        <v>0</v>
      </c>
      <c r="H12" s="1">
        <v>0</v>
      </c>
      <c r="I12" s="1">
        <v>0</v>
      </c>
    </row>
    <row r="13" spans="1:9" hidden="1" x14ac:dyDescent="0.25">
      <c r="A13" s="1" t="s">
        <v>29</v>
      </c>
      <c r="B13" s="1" t="s">
        <v>13</v>
      </c>
      <c r="C13" s="1" t="s">
        <v>10</v>
      </c>
      <c r="D13" s="1">
        <v>0</v>
      </c>
      <c r="E13" s="1">
        <v>46.69</v>
      </c>
      <c r="F13" s="1">
        <v>0</v>
      </c>
      <c r="G13" s="1">
        <v>0</v>
      </c>
      <c r="H13" s="1">
        <v>0</v>
      </c>
      <c r="I13" s="1">
        <v>188.14099999999999</v>
      </c>
    </row>
    <row r="14" spans="1:9" hidden="1" x14ac:dyDescent="0.25">
      <c r="A14" s="1" t="s">
        <v>29</v>
      </c>
      <c r="B14" s="1" t="s">
        <v>21</v>
      </c>
      <c r="C14" s="1" t="s">
        <v>18</v>
      </c>
      <c r="D14" s="1">
        <v>0</v>
      </c>
      <c r="E14" s="1">
        <v>-46.69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29</v>
      </c>
      <c r="B15" s="1" t="s">
        <v>21</v>
      </c>
      <c r="C15" s="1" t="s">
        <v>10</v>
      </c>
      <c r="D15" s="1">
        <v>0</v>
      </c>
      <c r="E15" s="1">
        <v>-46.69</v>
      </c>
      <c r="F15" s="1">
        <v>0</v>
      </c>
      <c r="G15" s="1">
        <v>0</v>
      </c>
      <c r="H15" s="1">
        <v>0</v>
      </c>
      <c r="I15" s="1">
        <v>-188.14099999999999</v>
      </c>
    </row>
    <row r="16" spans="1:9" hidden="1" x14ac:dyDescent="0.25">
      <c r="A16" s="1" t="s">
        <v>137</v>
      </c>
      <c r="B16" s="1" t="s">
        <v>9</v>
      </c>
      <c r="C16" s="1" t="s">
        <v>18</v>
      </c>
      <c r="D16" s="1">
        <v>583.20000000000005</v>
      </c>
      <c r="E16" s="1">
        <v>0</v>
      </c>
      <c r="F16" s="1">
        <v>0</v>
      </c>
      <c r="G16" s="1">
        <v>0</v>
      </c>
      <c r="H16" s="1">
        <v>0</v>
      </c>
      <c r="I16" s="1">
        <v>-7873.2</v>
      </c>
    </row>
    <row r="17" spans="1:9" x14ac:dyDescent="0.25">
      <c r="A17" s="1" t="s">
        <v>137</v>
      </c>
      <c r="B17" s="1" t="s">
        <v>9</v>
      </c>
      <c r="C17" s="1" t="s">
        <v>10</v>
      </c>
      <c r="D17" s="1">
        <v>583.20000000000005</v>
      </c>
      <c r="E17" s="1">
        <v>0</v>
      </c>
      <c r="F17" s="1">
        <v>0</v>
      </c>
      <c r="G17" s="1">
        <v>0</v>
      </c>
      <c r="H17" s="1">
        <v>0</v>
      </c>
      <c r="I17" s="1">
        <v>-7873.2</v>
      </c>
    </row>
    <row r="18" spans="1:9" hidden="1" x14ac:dyDescent="0.25">
      <c r="A18" s="1" t="s">
        <v>137</v>
      </c>
      <c r="B18" s="1" t="s">
        <v>19</v>
      </c>
      <c r="C18" s="1" t="s">
        <v>18</v>
      </c>
      <c r="D18" s="1">
        <v>145.80000000000001</v>
      </c>
      <c r="E18" s="1">
        <v>0</v>
      </c>
      <c r="F18" s="1">
        <v>0</v>
      </c>
      <c r="G18" s="1">
        <v>0</v>
      </c>
      <c r="H18" s="1">
        <v>0</v>
      </c>
      <c r="I18" s="1">
        <v>-1968.3</v>
      </c>
    </row>
    <row r="19" spans="1:9" hidden="1" x14ac:dyDescent="0.25">
      <c r="A19" s="1" t="s">
        <v>137</v>
      </c>
      <c r="B19" s="1" t="s">
        <v>19</v>
      </c>
      <c r="C19" s="1" t="s">
        <v>10</v>
      </c>
      <c r="D19" s="1">
        <v>145.80000000000001</v>
      </c>
      <c r="E19" s="1">
        <v>0</v>
      </c>
      <c r="F19" s="1">
        <v>0</v>
      </c>
      <c r="G19" s="1">
        <v>0</v>
      </c>
      <c r="H19" s="1">
        <v>0</v>
      </c>
      <c r="I19" s="1">
        <v>-1968.3</v>
      </c>
    </row>
    <row r="20" spans="1:9" hidden="1" x14ac:dyDescent="0.25">
      <c r="A20" s="1" t="s">
        <v>137</v>
      </c>
      <c r="B20" s="1" t="s">
        <v>92</v>
      </c>
      <c r="C20" s="1" t="s">
        <v>18</v>
      </c>
      <c r="D20" s="1">
        <v>0</v>
      </c>
      <c r="E20" s="1">
        <v>-66.31</v>
      </c>
      <c r="F20" s="1">
        <v>0</v>
      </c>
      <c r="G20" s="1">
        <v>0</v>
      </c>
      <c r="H20" s="1">
        <v>0</v>
      </c>
      <c r="I20" s="1">
        <v>-139.57</v>
      </c>
    </row>
    <row r="21" spans="1:9" hidden="1" x14ac:dyDescent="0.25">
      <c r="A21" s="1" t="s">
        <v>137</v>
      </c>
      <c r="B21" s="1" t="s">
        <v>92</v>
      </c>
      <c r="C21" s="1" t="s">
        <v>10</v>
      </c>
      <c r="D21" s="1">
        <v>0</v>
      </c>
      <c r="E21" s="1">
        <v>-66.31</v>
      </c>
      <c r="F21" s="1">
        <v>0</v>
      </c>
      <c r="G21" s="1">
        <v>0</v>
      </c>
      <c r="H21" s="1">
        <v>0</v>
      </c>
      <c r="I21" s="1">
        <v>-408.779</v>
      </c>
    </row>
    <row r="22" spans="1:9" hidden="1" x14ac:dyDescent="0.25">
      <c r="A22" s="1" t="s">
        <v>137</v>
      </c>
      <c r="B22" s="1" t="s">
        <v>11</v>
      </c>
      <c r="C22" s="1" t="s">
        <v>18</v>
      </c>
      <c r="D22" s="1">
        <v>0</v>
      </c>
      <c r="E22" s="1">
        <v>65.52</v>
      </c>
      <c r="F22" s="1">
        <v>0</v>
      </c>
      <c r="G22" s="1">
        <v>0</v>
      </c>
      <c r="H22" s="1">
        <v>0</v>
      </c>
      <c r="I22" s="1">
        <v>155.20699999999999</v>
      </c>
    </row>
    <row r="23" spans="1:9" hidden="1" x14ac:dyDescent="0.25">
      <c r="A23" s="1" t="s">
        <v>137</v>
      </c>
      <c r="B23" s="1" t="s">
        <v>11</v>
      </c>
      <c r="C23" s="1" t="s">
        <v>10</v>
      </c>
      <c r="D23" s="1">
        <v>0</v>
      </c>
      <c r="E23" s="1">
        <v>65.52</v>
      </c>
      <c r="F23" s="1">
        <v>0</v>
      </c>
      <c r="G23" s="1">
        <v>0</v>
      </c>
      <c r="H23" s="1">
        <v>0</v>
      </c>
      <c r="I23" s="1">
        <v>415.81700000000001</v>
      </c>
    </row>
    <row r="24" spans="1:9" hidden="1" x14ac:dyDescent="0.25">
      <c r="A24" s="1" t="s">
        <v>137</v>
      </c>
      <c r="B24" s="1" t="s">
        <v>12</v>
      </c>
      <c r="C24" s="1" t="s">
        <v>18</v>
      </c>
      <c r="D24" s="1">
        <v>68.760000000000005</v>
      </c>
      <c r="E24" s="1">
        <v>0</v>
      </c>
      <c r="F24" s="1">
        <v>0</v>
      </c>
      <c r="G24" s="1">
        <v>0</v>
      </c>
      <c r="H24" s="1">
        <v>0</v>
      </c>
      <c r="I24" s="1">
        <v>-928.25</v>
      </c>
    </row>
    <row r="25" spans="1:9" hidden="1" x14ac:dyDescent="0.25">
      <c r="A25" s="1" t="s">
        <v>137</v>
      </c>
      <c r="B25" s="1" t="s">
        <v>12</v>
      </c>
      <c r="C25" s="1" t="s">
        <v>10</v>
      </c>
      <c r="D25" s="1">
        <v>68.760000000000005</v>
      </c>
      <c r="E25" s="1">
        <v>0</v>
      </c>
      <c r="F25" s="1">
        <v>0</v>
      </c>
      <c r="G25" s="1">
        <v>0</v>
      </c>
      <c r="H25" s="1">
        <v>0</v>
      </c>
      <c r="I25" s="1">
        <v>-928.25</v>
      </c>
    </row>
    <row r="26" spans="1:9" hidden="1" x14ac:dyDescent="0.25">
      <c r="A26" s="1" t="s">
        <v>137</v>
      </c>
      <c r="B26" s="1" t="s">
        <v>13</v>
      </c>
      <c r="C26" s="1" t="s">
        <v>18</v>
      </c>
      <c r="D26" s="1">
        <v>0</v>
      </c>
      <c r="E26" s="1">
        <v>79.42</v>
      </c>
      <c r="F26" s="1">
        <v>0</v>
      </c>
      <c r="G26" s="1">
        <v>0</v>
      </c>
      <c r="H26" s="1">
        <v>0</v>
      </c>
      <c r="I26" s="1">
        <v>188.14099999999999</v>
      </c>
    </row>
    <row r="27" spans="1:9" hidden="1" x14ac:dyDescent="0.25">
      <c r="A27" s="1" t="s">
        <v>137</v>
      </c>
      <c r="B27" s="1" t="s">
        <v>13</v>
      </c>
      <c r="C27" s="1" t="s">
        <v>10</v>
      </c>
      <c r="D27" s="1">
        <v>0</v>
      </c>
      <c r="E27" s="1">
        <v>79.42</v>
      </c>
      <c r="F27" s="1">
        <v>0</v>
      </c>
      <c r="G27" s="1">
        <v>0</v>
      </c>
      <c r="H27" s="1">
        <v>0</v>
      </c>
      <c r="I27" s="1">
        <v>504.053</v>
      </c>
    </row>
    <row r="28" spans="1:9" hidden="1" x14ac:dyDescent="0.25">
      <c r="A28" s="1" t="s">
        <v>137</v>
      </c>
      <c r="B28" s="1" t="s">
        <v>21</v>
      </c>
      <c r="C28" s="1" t="s">
        <v>18</v>
      </c>
      <c r="D28" s="1">
        <v>0</v>
      </c>
      <c r="E28" s="1">
        <v>-79.42</v>
      </c>
      <c r="F28" s="1">
        <v>0</v>
      </c>
      <c r="G28" s="1">
        <v>0</v>
      </c>
      <c r="H28" s="1">
        <v>0</v>
      </c>
      <c r="I28" s="1">
        <v>-188.14099999999999</v>
      </c>
    </row>
    <row r="29" spans="1:9" hidden="1" x14ac:dyDescent="0.25">
      <c r="A29" s="1" t="s">
        <v>137</v>
      </c>
      <c r="B29" s="1" t="s">
        <v>21</v>
      </c>
      <c r="C29" s="1" t="s">
        <v>10</v>
      </c>
      <c r="D29" s="1">
        <v>0</v>
      </c>
      <c r="E29" s="1">
        <v>-79.42</v>
      </c>
      <c r="F29" s="1">
        <v>0</v>
      </c>
      <c r="G29" s="1">
        <v>0</v>
      </c>
      <c r="H29" s="1">
        <v>0</v>
      </c>
      <c r="I29" s="1">
        <v>-504.053</v>
      </c>
    </row>
    <row r="30" spans="1:9" hidden="1" x14ac:dyDescent="0.25">
      <c r="A30" s="1" t="s">
        <v>138</v>
      </c>
      <c r="B30" s="1" t="s">
        <v>9</v>
      </c>
      <c r="C30" s="1" t="s">
        <v>18</v>
      </c>
      <c r="D30" s="1">
        <v>874.8</v>
      </c>
      <c r="E30" s="1">
        <v>0</v>
      </c>
      <c r="F30" s="1">
        <v>0</v>
      </c>
      <c r="G30" s="1">
        <v>0</v>
      </c>
      <c r="H30" s="1">
        <v>0</v>
      </c>
      <c r="I30" s="1">
        <v>-11809.8</v>
      </c>
    </row>
    <row r="31" spans="1:9" x14ac:dyDescent="0.25">
      <c r="A31" s="1" t="s">
        <v>138</v>
      </c>
      <c r="B31" s="1" t="s">
        <v>9</v>
      </c>
      <c r="C31" s="1" t="s">
        <v>10</v>
      </c>
      <c r="D31" s="1">
        <v>874.8</v>
      </c>
      <c r="E31" s="1">
        <v>0</v>
      </c>
      <c r="F31" s="1">
        <v>0</v>
      </c>
      <c r="G31" s="1">
        <v>0</v>
      </c>
      <c r="H31" s="1">
        <v>0</v>
      </c>
      <c r="I31" s="1">
        <v>-11809.8</v>
      </c>
    </row>
    <row r="32" spans="1:9" hidden="1" x14ac:dyDescent="0.25">
      <c r="A32" s="1" t="s">
        <v>138</v>
      </c>
      <c r="B32" s="1" t="s">
        <v>19</v>
      </c>
      <c r="C32" s="1" t="s">
        <v>18</v>
      </c>
      <c r="D32" s="1">
        <v>218.7</v>
      </c>
      <c r="E32" s="1">
        <v>0</v>
      </c>
      <c r="F32" s="1">
        <v>0</v>
      </c>
      <c r="G32" s="1">
        <v>0</v>
      </c>
      <c r="H32" s="1">
        <v>0</v>
      </c>
      <c r="I32" s="1">
        <v>-2952.45</v>
      </c>
    </row>
    <row r="33" spans="1:9" hidden="1" x14ac:dyDescent="0.25">
      <c r="A33" s="1" t="s">
        <v>138</v>
      </c>
      <c r="B33" s="1" t="s">
        <v>19</v>
      </c>
      <c r="C33" s="1" t="s">
        <v>10</v>
      </c>
      <c r="D33" s="1">
        <v>218.7</v>
      </c>
      <c r="E33" s="1">
        <v>0</v>
      </c>
      <c r="F33" s="1">
        <v>0</v>
      </c>
      <c r="G33" s="1">
        <v>0</v>
      </c>
      <c r="H33" s="1">
        <v>0</v>
      </c>
      <c r="I33" s="1">
        <v>-2952.45</v>
      </c>
    </row>
    <row r="34" spans="1:9" hidden="1" x14ac:dyDescent="0.25">
      <c r="A34" s="1" t="s">
        <v>138</v>
      </c>
      <c r="B34" s="1" t="s">
        <v>92</v>
      </c>
      <c r="C34" s="1" t="s">
        <v>18</v>
      </c>
      <c r="D34" s="1">
        <v>0</v>
      </c>
      <c r="E34" s="1">
        <v>-95.19</v>
      </c>
      <c r="F34" s="1">
        <v>0</v>
      </c>
      <c r="G34" s="1">
        <v>0</v>
      </c>
      <c r="H34" s="1">
        <v>0</v>
      </c>
      <c r="I34" s="1">
        <v>-408.779</v>
      </c>
    </row>
    <row r="35" spans="1:9" hidden="1" x14ac:dyDescent="0.25">
      <c r="A35" s="1" t="s">
        <v>138</v>
      </c>
      <c r="B35" s="1" t="s">
        <v>92</v>
      </c>
      <c r="C35" s="1" t="s">
        <v>10</v>
      </c>
      <c r="D35" s="1">
        <v>0</v>
      </c>
      <c r="E35" s="1">
        <v>-95.19</v>
      </c>
      <c r="F35" s="1">
        <v>0</v>
      </c>
      <c r="G35" s="1">
        <v>0</v>
      </c>
      <c r="H35" s="1">
        <v>0</v>
      </c>
      <c r="I35" s="1">
        <v>-797.76599999999996</v>
      </c>
    </row>
    <row r="36" spans="1:9" hidden="1" x14ac:dyDescent="0.25">
      <c r="A36" s="1" t="s">
        <v>138</v>
      </c>
      <c r="B36" s="1" t="s">
        <v>11</v>
      </c>
      <c r="C36" s="1" t="s">
        <v>18</v>
      </c>
      <c r="D36" s="1">
        <v>0</v>
      </c>
      <c r="E36" s="1">
        <v>86.41</v>
      </c>
      <c r="F36" s="1">
        <v>0</v>
      </c>
      <c r="G36" s="1">
        <v>0</v>
      </c>
      <c r="H36" s="1">
        <v>0</v>
      </c>
      <c r="I36" s="1">
        <v>415.81700000000001</v>
      </c>
    </row>
    <row r="37" spans="1:9" hidden="1" x14ac:dyDescent="0.25">
      <c r="A37" s="1" t="s">
        <v>138</v>
      </c>
      <c r="B37" s="1" t="s">
        <v>11</v>
      </c>
      <c r="C37" s="1" t="s">
        <v>10</v>
      </c>
      <c r="D37" s="1">
        <v>0</v>
      </c>
      <c r="E37" s="1">
        <v>86.41</v>
      </c>
      <c r="F37" s="1">
        <v>0</v>
      </c>
      <c r="G37" s="1">
        <v>0</v>
      </c>
      <c r="H37" s="1">
        <v>0</v>
      </c>
      <c r="I37" s="1">
        <v>756.31600000000003</v>
      </c>
    </row>
    <row r="38" spans="1:9" hidden="1" x14ac:dyDescent="0.25">
      <c r="A38" s="1" t="s">
        <v>138</v>
      </c>
      <c r="B38" s="1" t="s">
        <v>12</v>
      </c>
      <c r="C38" s="1" t="s">
        <v>18</v>
      </c>
      <c r="D38" s="1">
        <v>103.14</v>
      </c>
      <c r="E38" s="1">
        <v>0</v>
      </c>
      <c r="F38" s="1">
        <v>0</v>
      </c>
      <c r="G38" s="1">
        <v>0</v>
      </c>
      <c r="H38" s="1">
        <v>0</v>
      </c>
      <c r="I38" s="1">
        <v>-1392.375</v>
      </c>
    </row>
    <row r="39" spans="1:9" hidden="1" x14ac:dyDescent="0.25">
      <c r="A39" s="1" t="s">
        <v>138</v>
      </c>
      <c r="B39" s="1" t="s">
        <v>12</v>
      </c>
      <c r="C39" s="1" t="s">
        <v>10</v>
      </c>
      <c r="D39" s="1">
        <v>103.14</v>
      </c>
      <c r="E39" s="1">
        <v>0</v>
      </c>
      <c r="F39" s="1">
        <v>0</v>
      </c>
      <c r="G39" s="1">
        <v>0</v>
      </c>
      <c r="H39" s="1">
        <v>0</v>
      </c>
      <c r="I39" s="1">
        <v>-1392.375</v>
      </c>
    </row>
    <row r="40" spans="1:9" hidden="1" x14ac:dyDescent="0.25">
      <c r="A40" s="1" t="s">
        <v>138</v>
      </c>
      <c r="B40" s="1" t="s">
        <v>13</v>
      </c>
      <c r="C40" s="1" t="s">
        <v>18</v>
      </c>
      <c r="D40" s="1">
        <v>0</v>
      </c>
      <c r="E40" s="1">
        <v>104.75</v>
      </c>
      <c r="F40" s="1">
        <v>0</v>
      </c>
      <c r="G40" s="1">
        <v>0</v>
      </c>
      <c r="H40" s="1">
        <v>0</v>
      </c>
      <c r="I40" s="1">
        <v>504.053</v>
      </c>
    </row>
    <row r="41" spans="1:9" hidden="1" x14ac:dyDescent="0.25">
      <c r="A41" s="1" t="s">
        <v>138</v>
      </c>
      <c r="B41" s="1" t="s">
        <v>13</v>
      </c>
      <c r="C41" s="1" t="s">
        <v>10</v>
      </c>
      <c r="D41" s="1">
        <v>0</v>
      </c>
      <c r="E41" s="1">
        <v>104.75</v>
      </c>
      <c r="F41" s="1">
        <v>0</v>
      </c>
      <c r="G41" s="1">
        <v>0</v>
      </c>
      <c r="H41" s="1">
        <v>0</v>
      </c>
      <c r="I41" s="1">
        <v>916.80600000000004</v>
      </c>
    </row>
    <row r="42" spans="1:9" hidden="1" x14ac:dyDescent="0.25">
      <c r="A42" s="1" t="s">
        <v>138</v>
      </c>
      <c r="B42" s="1" t="s">
        <v>21</v>
      </c>
      <c r="C42" s="1" t="s">
        <v>18</v>
      </c>
      <c r="D42" s="1">
        <v>0</v>
      </c>
      <c r="E42" s="1">
        <v>-104.75</v>
      </c>
      <c r="F42" s="1">
        <v>0</v>
      </c>
      <c r="G42" s="1">
        <v>0</v>
      </c>
      <c r="H42" s="1">
        <v>0</v>
      </c>
      <c r="I42" s="1">
        <v>-504.053</v>
      </c>
    </row>
    <row r="43" spans="1:9" hidden="1" x14ac:dyDescent="0.25">
      <c r="A43" s="1" t="s">
        <v>138</v>
      </c>
      <c r="B43" s="1" t="s">
        <v>21</v>
      </c>
      <c r="C43" s="1" t="s">
        <v>10</v>
      </c>
      <c r="D43" s="1">
        <v>0</v>
      </c>
      <c r="E43" s="1">
        <v>-104.75</v>
      </c>
      <c r="F43" s="1">
        <v>0</v>
      </c>
      <c r="G43" s="1">
        <v>0</v>
      </c>
      <c r="H43" s="1">
        <v>0</v>
      </c>
      <c r="I43" s="1">
        <v>-916.80600000000004</v>
      </c>
    </row>
    <row r="44" spans="1:9" hidden="1" x14ac:dyDescent="0.25">
      <c r="A44" s="1" t="s">
        <v>139</v>
      </c>
      <c r="B44" s="1" t="s">
        <v>9</v>
      </c>
      <c r="C44" s="1" t="s">
        <v>18</v>
      </c>
      <c r="D44" s="1">
        <v>1166.4000000000001</v>
      </c>
      <c r="E44" s="1">
        <v>0</v>
      </c>
      <c r="F44" s="1">
        <v>0</v>
      </c>
      <c r="G44" s="1">
        <v>0</v>
      </c>
      <c r="H44" s="1">
        <v>0</v>
      </c>
      <c r="I44" s="1">
        <v>-15746.4</v>
      </c>
    </row>
    <row r="45" spans="1:9" x14ac:dyDescent="0.25">
      <c r="A45" s="1" t="s">
        <v>139</v>
      </c>
      <c r="B45" s="1" t="s">
        <v>9</v>
      </c>
      <c r="C45" s="1" t="s">
        <v>10</v>
      </c>
      <c r="D45" s="1">
        <v>1166.4000000000001</v>
      </c>
      <c r="E45" s="1">
        <v>0</v>
      </c>
      <c r="F45" s="1">
        <v>0</v>
      </c>
      <c r="G45" s="1">
        <v>0</v>
      </c>
      <c r="H45" s="1">
        <v>0</v>
      </c>
      <c r="I45" s="1">
        <v>-15746.4</v>
      </c>
    </row>
    <row r="46" spans="1:9" hidden="1" x14ac:dyDescent="0.25">
      <c r="A46" s="1" t="s">
        <v>139</v>
      </c>
      <c r="B46" s="1" t="s">
        <v>19</v>
      </c>
      <c r="C46" s="1" t="s">
        <v>18</v>
      </c>
      <c r="D46" s="1">
        <v>291.60000000000002</v>
      </c>
      <c r="E46" s="1">
        <v>0</v>
      </c>
      <c r="F46" s="1">
        <v>0</v>
      </c>
      <c r="G46" s="1">
        <v>0</v>
      </c>
      <c r="H46" s="1">
        <v>0</v>
      </c>
      <c r="I46" s="1">
        <v>-3936.6</v>
      </c>
    </row>
    <row r="47" spans="1:9" hidden="1" x14ac:dyDescent="0.25">
      <c r="A47" s="1" t="s">
        <v>139</v>
      </c>
      <c r="B47" s="1" t="s">
        <v>19</v>
      </c>
      <c r="C47" s="1" t="s">
        <v>10</v>
      </c>
      <c r="D47" s="1">
        <v>291.60000000000002</v>
      </c>
      <c r="E47" s="1">
        <v>0</v>
      </c>
      <c r="F47" s="1">
        <v>0</v>
      </c>
      <c r="G47" s="1">
        <v>0</v>
      </c>
      <c r="H47" s="1">
        <v>0</v>
      </c>
      <c r="I47" s="1">
        <v>-3936.6</v>
      </c>
    </row>
    <row r="48" spans="1:9" hidden="1" x14ac:dyDescent="0.25">
      <c r="A48" s="1" t="s">
        <v>139</v>
      </c>
      <c r="B48" s="1" t="s">
        <v>92</v>
      </c>
      <c r="C48" s="1" t="s">
        <v>18</v>
      </c>
      <c r="D48" s="1">
        <v>0</v>
      </c>
      <c r="E48" s="1">
        <v>-121.22</v>
      </c>
      <c r="F48" s="1">
        <v>0</v>
      </c>
      <c r="G48" s="1">
        <v>0</v>
      </c>
      <c r="H48" s="1">
        <v>0</v>
      </c>
      <c r="I48" s="1">
        <v>-797.76599999999996</v>
      </c>
    </row>
    <row r="49" spans="1:9" hidden="1" x14ac:dyDescent="0.25">
      <c r="A49" s="1" t="s">
        <v>139</v>
      </c>
      <c r="B49" s="1" t="s">
        <v>92</v>
      </c>
      <c r="C49" s="1" t="s">
        <v>10</v>
      </c>
      <c r="D49" s="1">
        <v>0</v>
      </c>
      <c r="E49" s="1">
        <v>-121.22</v>
      </c>
      <c r="F49" s="1">
        <v>0</v>
      </c>
      <c r="G49" s="1">
        <v>0</v>
      </c>
      <c r="H49" s="1">
        <v>0</v>
      </c>
      <c r="I49" s="1">
        <v>-1296.4269999999999</v>
      </c>
    </row>
    <row r="50" spans="1:9" hidden="1" x14ac:dyDescent="0.25">
      <c r="A50" s="1" t="s">
        <v>139</v>
      </c>
      <c r="B50" s="1" t="s">
        <v>11</v>
      </c>
      <c r="C50" s="1" t="s">
        <v>18</v>
      </c>
      <c r="D50" s="1">
        <v>0</v>
      </c>
      <c r="E50" s="1">
        <v>103.68</v>
      </c>
      <c r="F50" s="1">
        <v>0</v>
      </c>
      <c r="G50" s="1">
        <v>0</v>
      </c>
      <c r="H50" s="1">
        <v>0</v>
      </c>
      <c r="I50" s="1">
        <v>756.31600000000003</v>
      </c>
    </row>
    <row r="51" spans="1:9" hidden="1" x14ac:dyDescent="0.25">
      <c r="A51" s="1" t="s">
        <v>139</v>
      </c>
      <c r="B51" s="1" t="s">
        <v>11</v>
      </c>
      <c r="C51" s="1" t="s">
        <v>10</v>
      </c>
      <c r="D51" s="1">
        <v>0</v>
      </c>
      <c r="E51" s="1">
        <v>103.68</v>
      </c>
      <c r="F51" s="1">
        <v>0</v>
      </c>
      <c r="G51" s="1">
        <v>0</v>
      </c>
      <c r="H51" s="1">
        <v>0</v>
      </c>
      <c r="I51" s="1">
        <v>1161.509</v>
      </c>
    </row>
    <row r="52" spans="1:9" hidden="1" x14ac:dyDescent="0.25">
      <c r="A52" s="1" t="s">
        <v>139</v>
      </c>
      <c r="B52" s="1" t="s">
        <v>12</v>
      </c>
      <c r="C52" s="1" t="s">
        <v>18</v>
      </c>
      <c r="D52" s="1">
        <v>137.52000000000001</v>
      </c>
      <c r="E52" s="1">
        <v>0</v>
      </c>
      <c r="F52" s="1">
        <v>0</v>
      </c>
      <c r="G52" s="1">
        <v>0</v>
      </c>
      <c r="H52" s="1">
        <v>0</v>
      </c>
      <c r="I52" s="1">
        <v>-1856.501</v>
      </c>
    </row>
    <row r="53" spans="1:9" hidden="1" x14ac:dyDescent="0.25">
      <c r="A53" s="1" t="s">
        <v>139</v>
      </c>
      <c r="B53" s="1" t="s">
        <v>12</v>
      </c>
      <c r="C53" s="1" t="s">
        <v>10</v>
      </c>
      <c r="D53" s="1">
        <v>137.52000000000001</v>
      </c>
      <c r="E53" s="1">
        <v>0</v>
      </c>
      <c r="F53" s="1">
        <v>0</v>
      </c>
      <c r="G53" s="1">
        <v>0</v>
      </c>
      <c r="H53" s="1">
        <v>0</v>
      </c>
      <c r="I53" s="1">
        <v>-1856.501</v>
      </c>
    </row>
    <row r="54" spans="1:9" hidden="1" x14ac:dyDescent="0.25">
      <c r="A54" s="1" t="s">
        <v>139</v>
      </c>
      <c r="B54" s="1" t="s">
        <v>13</v>
      </c>
      <c r="C54" s="1" t="s">
        <v>18</v>
      </c>
      <c r="D54" s="1">
        <v>0</v>
      </c>
      <c r="E54" s="1">
        <v>125.68</v>
      </c>
      <c r="F54" s="1">
        <v>0</v>
      </c>
      <c r="G54" s="1">
        <v>0</v>
      </c>
      <c r="H54" s="1">
        <v>0</v>
      </c>
      <c r="I54" s="1">
        <v>916.80600000000004</v>
      </c>
    </row>
    <row r="55" spans="1:9" hidden="1" x14ac:dyDescent="0.25">
      <c r="A55" s="1" t="s">
        <v>139</v>
      </c>
      <c r="B55" s="1" t="s">
        <v>13</v>
      </c>
      <c r="C55" s="1" t="s">
        <v>10</v>
      </c>
      <c r="D55" s="1">
        <v>0</v>
      </c>
      <c r="E55" s="1">
        <v>125.68</v>
      </c>
      <c r="F55" s="1">
        <v>0</v>
      </c>
      <c r="G55" s="1">
        <v>0</v>
      </c>
      <c r="H55" s="1">
        <v>0</v>
      </c>
      <c r="I55" s="1">
        <v>1407.981</v>
      </c>
    </row>
    <row r="56" spans="1:9" hidden="1" x14ac:dyDescent="0.25">
      <c r="A56" s="1" t="s">
        <v>139</v>
      </c>
      <c r="B56" s="1" t="s">
        <v>21</v>
      </c>
      <c r="C56" s="1" t="s">
        <v>18</v>
      </c>
      <c r="D56" s="1">
        <v>0</v>
      </c>
      <c r="E56" s="1">
        <v>-125.68</v>
      </c>
      <c r="F56" s="1">
        <v>0</v>
      </c>
      <c r="G56" s="1">
        <v>0</v>
      </c>
      <c r="H56" s="1">
        <v>0</v>
      </c>
      <c r="I56" s="1">
        <v>-916.80600000000004</v>
      </c>
    </row>
    <row r="57" spans="1:9" hidden="1" x14ac:dyDescent="0.25">
      <c r="A57" s="1" t="s">
        <v>139</v>
      </c>
      <c r="B57" s="1" t="s">
        <v>21</v>
      </c>
      <c r="C57" s="1" t="s">
        <v>10</v>
      </c>
      <c r="D57" s="1">
        <v>0</v>
      </c>
      <c r="E57" s="1">
        <v>-125.68</v>
      </c>
      <c r="F57" s="1">
        <v>0</v>
      </c>
      <c r="G57" s="1">
        <v>0</v>
      </c>
      <c r="H57" s="1">
        <v>0</v>
      </c>
      <c r="I57" s="1">
        <v>-1407.981</v>
      </c>
    </row>
    <row r="58" spans="1:9" hidden="1" x14ac:dyDescent="0.25">
      <c r="A58" s="1" t="s">
        <v>140</v>
      </c>
      <c r="B58" s="1" t="s">
        <v>9</v>
      </c>
      <c r="C58" s="1" t="s">
        <v>18</v>
      </c>
      <c r="D58" s="1">
        <v>1458</v>
      </c>
      <c r="E58" s="1">
        <v>0</v>
      </c>
      <c r="F58" s="1">
        <v>0</v>
      </c>
      <c r="G58" s="1">
        <v>0</v>
      </c>
      <c r="H58" s="1">
        <v>0</v>
      </c>
      <c r="I58" s="1">
        <v>-19683</v>
      </c>
    </row>
    <row r="59" spans="1:9" x14ac:dyDescent="0.25">
      <c r="A59" s="1" t="s">
        <v>140</v>
      </c>
      <c r="B59" s="1" t="s">
        <v>9</v>
      </c>
      <c r="C59" s="1" t="s">
        <v>10</v>
      </c>
      <c r="D59" s="1">
        <v>1458</v>
      </c>
      <c r="E59" s="1">
        <v>0</v>
      </c>
      <c r="F59" s="1">
        <v>0</v>
      </c>
      <c r="G59" s="1">
        <v>0</v>
      </c>
      <c r="H59" s="1">
        <v>0</v>
      </c>
      <c r="I59" s="1">
        <v>-19683</v>
      </c>
    </row>
    <row r="60" spans="1:9" hidden="1" x14ac:dyDescent="0.25">
      <c r="A60" s="1" t="s">
        <v>140</v>
      </c>
      <c r="B60" s="1" t="s">
        <v>19</v>
      </c>
      <c r="C60" s="1" t="s">
        <v>18</v>
      </c>
      <c r="D60" s="1">
        <v>364.5</v>
      </c>
      <c r="E60" s="1">
        <v>0</v>
      </c>
      <c r="F60" s="1">
        <v>0</v>
      </c>
      <c r="G60" s="1">
        <v>0</v>
      </c>
      <c r="H60" s="1">
        <v>0</v>
      </c>
      <c r="I60" s="1">
        <v>-4920.75</v>
      </c>
    </row>
    <row r="61" spans="1:9" hidden="1" x14ac:dyDescent="0.25">
      <c r="A61" s="1" t="s">
        <v>140</v>
      </c>
      <c r="B61" s="1" t="s">
        <v>19</v>
      </c>
      <c r="C61" s="1" t="s">
        <v>10</v>
      </c>
      <c r="D61" s="1">
        <v>364.5</v>
      </c>
      <c r="E61" s="1">
        <v>0</v>
      </c>
      <c r="F61" s="1">
        <v>0</v>
      </c>
      <c r="G61" s="1">
        <v>0</v>
      </c>
      <c r="H61" s="1">
        <v>0</v>
      </c>
      <c r="I61" s="1">
        <v>-4920.75</v>
      </c>
    </row>
    <row r="62" spans="1:9" hidden="1" x14ac:dyDescent="0.25">
      <c r="A62" s="1" t="s">
        <v>140</v>
      </c>
      <c r="B62" s="1" t="s">
        <v>92</v>
      </c>
      <c r="C62" s="1" t="s">
        <v>18</v>
      </c>
      <c r="D62" s="1">
        <v>0</v>
      </c>
      <c r="E62" s="1">
        <v>-144.38999999999999</v>
      </c>
      <c r="F62" s="1">
        <v>0</v>
      </c>
      <c r="G62" s="1">
        <v>0</v>
      </c>
      <c r="H62" s="1">
        <v>0</v>
      </c>
      <c r="I62" s="1">
        <v>-1296.4269999999999</v>
      </c>
    </row>
    <row r="63" spans="1:9" hidden="1" x14ac:dyDescent="0.25">
      <c r="A63" s="1" t="s">
        <v>140</v>
      </c>
      <c r="B63" s="1" t="s">
        <v>92</v>
      </c>
      <c r="C63" s="1" t="s">
        <v>10</v>
      </c>
      <c r="D63" s="1">
        <v>0</v>
      </c>
      <c r="E63" s="1">
        <v>-144.38999999999999</v>
      </c>
      <c r="F63" s="1">
        <v>0</v>
      </c>
      <c r="G63" s="1">
        <v>0</v>
      </c>
      <c r="H63" s="1">
        <v>0</v>
      </c>
      <c r="I63" s="1">
        <v>-1894.3820000000001</v>
      </c>
    </row>
    <row r="64" spans="1:9" hidden="1" x14ac:dyDescent="0.25">
      <c r="A64" s="1" t="s">
        <v>140</v>
      </c>
      <c r="B64" s="1" t="s">
        <v>11</v>
      </c>
      <c r="C64" s="1" t="s">
        <v>18</v>
      </c>
      <c r="D64" s="1">
        <v>0</v>
      </c>
      <c r="E64" s="1">
        <v>118.75</v>
      </c>
      <c r="F64" s="1">
        <v>0</v>
      </c>
      <c r="G64" s="1">
        <v>0</v>
      </c>
      <c r="H64" s="1">
        <v>0</v>
      </c>
      <c r="I64" s="1">
        <v>1161.509</v>
      </c>
    </row>
    <row r="65" spans="1:9" hidden="1" x14ac:dyDescent="0.25">
      <c r="A65" s="1" t="s">
        <v>140</v>
      </c>
      <c r="B65" s="1" t="s">
        <v>11</v>
      </c>
      <c r="C65" s="1" t="s">
        <v>10</v>
      </c>
      <c r="D65" s="1">
        <v>0</v>
      </c>
      <c r="E65" s="1">
        <v>118.75</v>
      </c>
      <c r="F65" s="1">
        <v>0</v>
      </c>
      <c r="G65" s="1">
        <v>0</v>
      </c>
      <c r="H65" s="1">
        <v>0</v>
      </c>
      <c r="I65" s="1">
        <v>1622.644</v>
      </c>
    </row>
    <row r="66" spans="1:9" hidden="1" x14ac:dyDescent="0.25">
      <c r="A66" s="1" t="s">
        <v>140</v>
      </c>
      <c r="B66" s="1" t="s">
        <v>12</v>
      </c>
      <c r="C66" s="1" t="s">
        <v>18</v>
      </c>
      <c r="D66" s="1">
        <v>171.9</v>
      </c>
      <c r="E66" s="1">
        <v>0</v>
      </c>
      <c r="F66" s="1">
        <v>0</v>
      </c>
      <c r="G66" s="1">
        <v>0</v>
      </c>
      <c r="H66" s="1">
        <v>0</v>
      </c>
      <c r="I66" s="1">
        <v>-2320.6260000000002</v>
      </c>
    </row>
    <row r="67" spans="1:9" hidden="1" x14ac:dyDescent="0.25">
      <c r="A67" s="1" t="s">
        <v>140</v>
      </c>
      <c r="B67" s="1" t="s">
        <v>12</v>
      </c>
      <c r="C67" s="1" t="s">
        <v>10</v>
      </c>
      <c r="D67" s="1">
        <v>171.9</v>
      </c>
      <c r="E67" s="1">
        <v>0</v>
      </c>
      <c r="F67" s="1">
        <v>0</v>
      </c>
      <c r="G67" s="1">
        <v>0</v>
      </c>
      <c r="H67" s="1">
        <v>0</v>
      </c>
      <c r="I67" s="1">
        <v>-2320.6260000000002</v>
      </c>
    </row>
    <row r="68" spans="1:9" hidden="1" x14ac:dyDescent="0.25">
      <c r="A68" s="1" t="s">
        <v>140</v>
      </c>
      <c r="B68" s="1" t="s">
        <v>13</v>
      </c>
      <c r="C68" s="1" t="s">
        <v>18</v>
      </c>
      <c r="D68" s="1">
        <v>0</v>
      </c>
      <c r="E68" s="1">
        <v>143.94999999999999</v>
      </c>
      <c r="F68" s="1">
        <v>0</v>
      </c>
      <c r="G68" s="1">
        <v>0</v>
      </c>
      <c r="H68" s="1">
        <v>0</v>
      </c>
      <c r="I68" s="1">
        <v>1407.981</v>
      </c>
    </row>
    <row r="69" spans="1:9" hidden="1" x14ac:dyDescent="0.25">
      <c r="A69" s="1" t="s">
        <v>140</v>
      </c>
      <c r="B69" s="1" t="s">
        <v>13</v>
      </c>
      <c r="C69" s="1" t="s">
        <v>10</v>
      </c>
      <c r="D69" s="1">
        <v>0</v>
      </c>
      <c r="E69" s="1">
        <v>143.94999999999999</v>
      </c>
      <c r="F69" s="1">
        <v>0</v>
      </c>
      <c r="G69" s="1">
        <v>0</v>
      </c>
      <c r="H69" s="1">
        <v>0</v>
      </c>
      <c r="I69" s="1">
        <v>1966.9690000000001</v>
      </c>
    </row>
    <row r="70" spans="1:9" hidden="1" x14ac:dyDescent="0.25">
      <c r="A70" s="1" t="s">
        <v>140</v>
      </c>
      <c r="B70" s="1" t="s">
        <v>21</v>
      </c>
      <c r="C70" s="1" t="s">
        <v>18</v>
      </c>
      <c r="D70" s="1">
        <v>0</v>
      </c>
      <c r="E70" s="1">
        <v>-143.94999999999999</v>
      </c>
      <c r="F70" s="1">
        <v>0</v>
      </c>
      <c r="G70" s="1">
        <v>0</v>
      </c>
      <c r="H70" s="1">
        <v>0</v>
      </c>
      <c r="I70" s="1">
        <v>-1407.981</v>
      </c>
    </row>
    <row r="71" spans="1:9" hidden="1" x14ac:dyDescent="0.25">
      <c r="A71" s="1" t="s">
        <v>140</v>
      </c>
      <c r="B71" s="1" t="s">
        <v>21</v>
      </c>
      <c r="C71" s="1" t="s">
        <v>10</v>
      </c>
      <c r="D71" s="1">
        <v>0</v>
      </c>
      <c r="E71" s="1">
        <v>-143.94999999999999</v>
      </c>
      <c r="F71" s="1">
        <v>0</v>
      </c>
      <c r="G71" s="1">
        <v>0</v>
      </c>
      <c r="H71" s="1">
        <v>0</v>
      </c>
      <c r="I71" s="1">
        <v>-1966.9690000000001</v>
      </c>
    </row>
    <row r="72" spans="1:9" hidden="1" x14ac:dyDescent="0.25">
      <c r="A72" s="1" t="s">
        <v>141</v>
      </c>
      <c r="B72" s="1" t="s">
        <v>9</v>
      </c>
      <c r="C72" s="1" t="s">
        <v>18</v>
      </c>
      <c r="D72" s="1">
        <v>1749.6</v>
      </c>
      <c r="E72" s="1">
        <v>0</v>
      </c>
      <c r="F72" s="1">
        <v>0</v>
      </c>
      <c r="G72" s="1">
        <v>0</v>
      </c>
      <c r="H72" s="1">
        <v>0</v>
      </c>
      <c r="I72" s="1">
        <v>-23619.599999999999</v>
      </c>
    </row>
    <row r="73" spans="1:9" x14ac:dyDescent="0.25">
      <c r="A73" s="1" t="s">
        <v>141</v>
      </c>
      <c r="B73" s="1" t="s">
        <v>9</v>
      </c>
      <c r="C73" s="1" t="s">
        <v>10</v>
      </c>
      <c r="D73" s="1">
        <v>1749.6</v>
      </c>
      <c r="E73" s="1">
        <v>0</v>
      </c>
      <c r="F73" s="1">
        <v>0</v>
      </c>
      <c r="G73" s="1">
        <v>0</v>
      </c>
      <c r="H73" s="1">
        <v>0</v>
      </c>
      <c r="I73" s="1">
        <v>-23619.599999999999</v>
      </c>
    </row>
    <row r="74" spans="1:9" hidden="1" x14ac:dyDescent="0.25">
      <c r="A74" s="1" t="s">
        <v>141</v>
      </c>
      <c r="B74" s="1" t="s">
        <v>19</v>
      </c>
      <c r="C74" s="1" t="s">
        <v>18</v>
      </c>
      <c r="D74" s="1">
        <v>437.4</v>
      </c>
      <c r="E74" s="1">
        <v>0</v>
      </c>
      <c r="F74" s="1">
        <v>0</v>
      </c>
      <c r="G74" s="1">
        <v>0</v>
      </c>
      <c r="H74" s="1">
        <v>0</v>
      </c>
      <c r="I74" s="1">
        <v>-5904.9</v>
      </c>
    </row>
    <row r="75" spans="1:9" hidden="1" x14ac:dyDescent="0.25">
      <c r="A75" s="1" t="s">
        <v>141</v>
      </c>
      <c r="B75" s="1" t="s">
        <v>19</v>
      </c>
      <c r="C75" s="1" t="s">
        <v>10</v>
      </c>
      <c r="D75" s="1">
        <v>437.4</v>
      </c>
      <c r="E75" s="1">
        <v>0</v>
      </c>
      <c r="F75" s="1">
        <v>0</v>
      </c>
      <c r="G75" s="1">
        <v>0</v>
      </c>
      <c r="H75" s="1">
        <v>0</v>
      </c>
      <c r="I75" s="1">
        <v>-5904.9</v>
      </c>
    </row>
    <row r="76" spans="1:9" hidden="1" x14ac:dyDescent="0.25">
      <c r="A76" s="1" t="s">
        <v>141</v>
      </c>
      <c r="B76" s="1" t="s">
        <v>92</v>
      </c>
      <c r="C76" s="1" t="s">
        <v>18</v>
      </c>
      <c r="D76" s="1">
        <v>0</v>
      </c>
      <c r="E76" s="1">
        <v>-164.71</v>
      </c>
      <c r="F76" s="1">
        <v>0</v>
      </c>
      <c r="G76" s="1">
        <v>0</v>
      </c>
      <c r="H76" s="1">
        <v>0</v>
      </c>
      <c r="I76" s="1">
        <v>-1894.3820000000001</v>
      </c>
    </row>
    <row r="77" spans="1:9" hidden="1" x14ac:dyDescent="0.25">
      <c r="A77" s="1" t="s">
        <v>141</v>
      </c>
      <c r="B77" s="1" t="s">
        <v>92</v>
      </c>
      <c r="C77" s="1" t="s">
        <v>10</v>
      </c>
      <c r="D77" s="1">
        <v>0</v>
      </c>
      <c r="E77" s="1">
        <v>-164.71</v>
      </c>
      <c r="F77" s="1">
        <v>0</v>
      </c>
      <c r="G77" s="1">
        <v>0</v>
      </c>
      <c r="H77" s="1">
        <v>0</v>
      </c>
      <c r="I77" s="1">
        <v>-2580.721</v>
      </c>
    </row>
    <row r="78" spans="1:9" hidden="1" x14ac:dyDescent="0.25">
      <c r="A78" s="1" t="s">
        <v>141</v>
      </c>
      <c r="B78" s="1" t="s">
        <v>11</v>
      </c>
      <c r="C78" s="1" t="s">
        <v>18</v>
      </c>
      <c r="D78" s="1">
        <v>0</v>
      </c>
      <c r="E78" s="1">
        <v>132.13</v>
      </c>
      <c r="F78" s="1">
        <v>0</v>
      </c>
      <c r="G78" s="1">
        <v>0</v>
      </c>
      <c r="H78" s="1">
        <v>0</v>
      </c>
      <c r="I78" s="1">
        <v>1622.644</v>
      </c>
    </row>
    <row r="79" spans="1:9" hidden="1" x14ac:dyDescent="0.25">
      <c r="A79" s="1" t="s">
        <v>141</v>
      </c>
      <c r="B79" s="1" t="s">
        <v>11</v>
      </c>
      <c r="C79" s="1" t="s">
        <v>10</v>
      </c>
      <c r="D79" s="1">
        <v>0</v>
      </c>
      <c r="E79" s="1">
        <v>132.13</v>
      </c>
      <c r="F79" s="1">
        <v>0</v>
      </c>
      <c r="G79" s="1">
        <v>0</v>
      </c>
      <c r="H79" s="1">
        <v>0</v>
      </c>
      <c r="I79" s="1">
        <v>2133.9290000000001</v>
      </c>
    </row>
    <row r="80" spans="1:9" hidden="1" x14ac:dyDescent="0.25">
      <c r="A80" s="1" t="s">
        <v>141</v>
      </c>
      <c r="B80" s="1" t="s">
        <v>12</v>
      </c>
      <c r="C80" s="1" t="s">
        <v>18</v>
      </c>
      <c r="D80" s="1">
        <v>206.28</v>
      </c>
      <c r="E80" s="1">
        <v>0</v>
      </c>
      <c r="F80" s="1">
        <v>0</v>
      </c>
      <c r="G80" s="1">
        <v>0</v>
      </c>
      <c r="H80" s="1">
        <v>0</v>
      </c>
      <c r="I80" s="1">
        <v>-2784.7510000000002</v>
      </c>
    </row>
    <row r="81" spans="1:9" hidden="1" x14ac:dyDescent="0.25">
      <c r="A81" s="1" t="s">
        <v>141</v>
      </c>
      <c r="B81" s="1" t="s">
        <v>12</v>
      </c>
      <c r="C81" s="1" t="s">
        <v>10</v>
      </c>
      <c r="D81" s="1">
        <v>206.28</v>
      </c>
      <c r="E81" s="1">
        <v>0</v>
      </c>
      <c r="F81" s="1">
        <v>0</v>
      </c>
      <c r="G81" s="1">
        <v>0</v>
      </c>
      <c r="H81" s="1">
        <v>0</v>
      </c>
      <c r="I81" s="1">
        <v>-2784.7510000000002</v>
      </c>
    </row>
    <row r="82" spans="1:9" hidden="1" x14ac:dyDescent="0.25">
      <c r="A82" s="1" t="s">
        <v>141</v>
      </c>
      <c r="B82" s="1" t="s">
        <v>13</v>
      </c>
      <c r="C82" s="1" t="s">
        <v>18</v>
      </c>
      <c r="D82" s="1">
        <v>0</v>
      </c>
      <c r="E82" s="1">
        <v>160.16999999999999</v>
      </c>
      <c r="F82" s="1">
        <v>0</v>
      </c>
      <c r="G82" s="1">
        <v>0</v>
      </c>
      <c r="H82" s="1">
        <v>0</v>
      </c>
      <c r="I82" s="1">
        <v>1966.9690000000001</v>
      </c>
    </row>
    <row r="83" spans="1:9" hidden="1" x14ac:dyDescent="0.25">
      <c r="A83" s="1" t="s">
        <v>141</v>
      </c>
      <c r="B83" s="1" t="s">
        <v>13</v>
      </c>
      <c r="C83" s="1" t="s">
        <v>10</v>
      </c>
      <c r="D83" s="1">
        <v>0</v>
      </c>
      <c r="E83" s="1">
        <v>160.16999999999999</v>
      </c>
      <c r="F83" s="1">
        <v>0</v>
      </c>
      <c r="G83" s="1">
        <v>0</v>
      </c>
      <c r="H83" s="1">
        <v>0</v>
      </c>
      <c r="I83" s="1">
        <v>2586.7489999999998</v>
      </c>
    </row>
    <row r="84" spans="1:9" hidden="1" x14ac:dyDescent="0.25">
      <c r="A84" s="1" t="s">
        <v>141</v>
      </c>
      <c r="B84" s="1" t="s">
        <v>21</v>
      </c>
      <c r="C84" s="1" t="s">
        <v>18</v>
      </c>
      <c r="D84" s="1">
        <v>0</v>
      </c>
      <c r="E84" s="1">
        <v>-160.16999999999999</v>
      </c>
      <c r="F84" s="1">
        <v>0</v>
      </c>
      <c r="G84" s="1">
        <v>0</v>
      </c>
      <c r="H84" s="1">
        <v>0</v>
      </c>
      <c r="I84" s="1">
        <v>-1966.9690000000001</v>
      </c>
    </row>
    <row r="85" spans="1:9" hidden="1" x14ac:dyDescent="0.25">
      <c r="A85" s="1" t="s">
        <v>141</v>
      </c>
      <c r="B85" s="1" t="s">
        <v>21</v>
      </c>
      <c r="C85" s="1" t="s">
        <v>10</v>
      </c>
      <c r="D85" s="1">
        <v>0</v>
      </c>
      <c r="E85" s="1">
        <v>-160.16999999999999</v>
      </c>
      <c r="F85" s="1">
        <v>0</v>
      </c>
      <c r="G85" s="1">
        <v>0</v>
      </c>
      <c r="H85" s="1">
        <v>0</v>
      </c>
      <c r="I85" s="1">
        <v>-2586.7489999999998</v>
      </c>
    </row>
    <row r="86" spans="1:9" hidden="1" x14ac:dyDescent="0.25">
      <c r="A86" s="1" t="s">
        <v>142</v>
      </c>
      <c r="B86" s="1" t="s">
        <v>9</v>
      </c>
      <c r="C86" s="1" t="s">
        <v>18</v>
      </c>
      <c r="D86" s="1">
        <v>2041.2</v>
      </c>
      <c r="E86" s="1">
        <v>0</v>
      </c>
      <c r="F86" s="1">
        <v>0</v>
      </c>
      <c r="G86" s="1">
        <v>0</v>
      </c>
      <c r="H86" s="1">
        <v>0</v>
      </c>
      <c r="I86" s="1">
        <v>-27556.2</v>
      </c>
    </row>
    <row r="87" spans="1:9" x14ac:dyDescent="0.25">
      <c r="A87" s="1" t="s">
        <v>142</v>
      </c>
      <c r="B87" s="1" t="s">
        <v>9</v>
      </c>
      <c r="C87" s="1" t="s">
        <v>10</v>
      </c>
      <c r="D87" s="1">
        <v>2041.2</v>
      </c>
      <c r="E87" s="1">
        <v>0</v>
      </c>
      <c r="F87" s="1">
        <v>0</v>
      </c>
      <c r="G87" s="1">
        <v>0</v>
      </c>
      <c r="H87" s="1">
        <v>0</v>
      </c>
      <c r="I87" s="1">
        <v>-27556.2</v>
      </c>
    </row>
    <row r="88" spans="1:9" hidden="1" x14ac:dyDescent="0.25">
      <c r="A88" s="1" t="s">
        <v>142</v>
      </c>
      <c r="B88" s="1" t="s">
        <v>19</v>
      </c>
      <c r="C88" s="1" t="s">
        <v>18</v>
      </c>
      <c r="D88" s="1">
        <v>510.3</v>
      </c>
      <c r="E88" s="1">
        <v>0</v>
      </c>
      <c r="F88" s="1">
        <v>0</v>
      </c>
      <c r="G88" s="1">
        <v>0</v>
      </c>
      <c r="H88" s="1">
        <v>0</v>
      </c>
      <c r="I88" s="1">
        <v>-6889.05</v>
      </c>
    </row>
    <row r="89" spans="1:9" hidden="1" x14ac:dyDescent="0.25">
      <c r="A89" s="1" t="s">
        <v>142</v>
      </c>
      <c r="B89" s="1" t="s">
        <v>19</v>
      </c>
      <c r="C89" s="1" t="s">
        <v>10</v>
      </c>
      <c r="D89" s="1">
        <v>510.3</v>
      </c>
      <c r="E89" s="1">
        <v>0</v>
      </c>
      <c r="F89" s="1">
        <v>0</v>
      </c>
      <c r="G89" s="1">
        <v>0</v>
      </c>
      <c r="H89" s="1">
        <v>0</v>
      </c>
      <c r="I89" s="1">
        <v>-6889.05</v>
      </c>
    </row>
    <row r="90" spans="1:9" hidden="1" x14ac:dyDescent="0.25">
      <c r="A90" s="1" t="s">
        <v>142</v>
      </c>
      <c r="B90" s="1" t="s">
        <v>92</v>
      </c>
      <c r="C90" s="1" t="s">
        <v>18</v>
      </c>
      <c r="D90" s="1">
        <v>0</v>
      </c>
      <c r="E90" s="1">
        <v>-182.18</v>
      </c>
      <c r="F90" s="1">
        <v>0</v>
      </c>
      <c r="G90" s="1">
        <v>0</v>
      </c>
      <c r="H90" s="1">
        <v>0</v>
      </c>
      <c r="I90" s="1">
        <v>-2580.721</v>
      </c>
    </row>
    <row r="91" spans="1:9" hidden="1" x14ac:dyDescent="0.25">
      <c r="A91" s="1" t="s">
        <v>142</v>
      </c>
      <c r="B91" s="1" t="s">
        <v>92</v>
      </c>
      <c r="C91" s="1" t="s">
        <v>10</v>
      </c>
      <c r="D91" s="1">
        <v>0</v>
      </c>
      <c r="E91" s="1">
        <v>-182.18</v>
      </c>
      <c r="F91" s="1">
        <v>0</v>
      </c>
      <c r="G91" s="1">
        <v>0</v>
      </c>
      <c r="H91" s="1">
        <v>0</v>
      </c>
      <c r="I91" s="1">
        <v>-3340.6590000000001</v>
      </c>
    </row>
    <row r="92" spans="1:9" hidden="1" x14ac:dyDescent="0.25">
      <c r="A92" s="1" t="s">
        <v>142</v>
      </c>
      <c r="B92" s="1" t="s">
        <v>11</v>
      </c>
      <c r="C92" s="1" t="s">
        <v>18</v>
      </c>
      <c r="D92" s="1">
        <v>0</v>
      </c>
      <c r="E92" s="1">
        <v>144.04</v>
      </c>
      <c r="F92" s="1">
        <v>0</v>
      </c>
      <c r="G92" s="1">
        <v>0</v>
      </c>
      <c r="H92" s="1">
        <v>0</v>
      </c>
      <c r="I92" s="1">
        <v>2133.9290000000001</v>
      </c>
    </row>
    <row r="93" spans="1:9" hidden="1" x14ac:dyDescent="0.25">
      <c r="A93" s="1" t="s">
        <v>142</v>
      </c>
      <c r="B93" s="1" t="s">
        <v>11</v>
      </c>
      <c r="C93" s="1" t="s">
        <v>10</v>
      </c>
      <c r="D93" s="1">
        <v>0</v>
      </c>
      <c r="E93" s="1">
        <v>144.04</v>
      </c>
      <c r="F93" s="1">
        <v>0</v>
      </c>
      <c r="G93" s="1">
        <v>0</v>
      </c>
      <c r="H93" s="1">
        <v>0</v>
      </c>
      <c r="I93" s="1">
        <v>2688.4119999999998</v>
      </c>
    </row>
    <row r="94" spans="1:9" hidden="1" x14ac:dyDescent="0.25">
      <c r="A94" s="1" t="s">
        <v>142</v>
      </c>
      <c r="B94" s="1" t="s">
        <v>12</v>
      </c>
      <c r="C94" s="1" t="s">
        <v>18</v>
      </c>
      <c r="D94" s="1">
        <v>240.66</v>
      </c>
      <c r="E94" s="1">
        <v>0</v>
      </c>
      <c r="F94" s="1">
        <v>0</v>
      </c>
      <c r="G94" s="1">
        <v>0</v>
      </c>
      <c r="H94" s="1">
        <v>0</v>
      </c>
      <c r="I94" s="1">
        <v>-3248.8760000000002</v>
      </c>
    </row>
    <row r="95" spans="1:9" hidden="1" x14ac:dyDescent="0.25">
      <c r="A95" s="1" t="s">
        <v>142</v>
      </c>
      <c r="B95" s="1" t="s">
        <v>12</v>
      </c>
      <c r="C95" s="1" t="s">
        <v>10</v>
      </c>
      <c r="D95" s="1">
        <v>240.66</v>
      </c>
      <c r="E95" s="1">
        <v>0</v>
      </c>
      <c r="F95" s="1">
        <v>0</v>
      </c>
      <c r="G95" s="1">
        <v>0</v>
      </c>
      <c r="H95" s="1">
        <v>0</v>
      </c>
      <c r="I95" s="1">
        <v>-3248.8760000000002</v>
      </c>
    </row>
    <row r="96" spans="1:9" hidden="1" x14ac:dyDescent="0.25">
      <c r="A96" s="1" t="s">
        <v>142</v>
      </c>
      <c r="B96" s="1" t="s">
        <v>13</v>
      </c>
      <c r="C96" s="1" t="s">
        <v>18</v>
      </c>
      <c r="D96" s="1">
        <v>0</v>
      </c>
      <c r="E96" s="1">
        <v>174.61</v>
      </c>
      <c r="F96" s="1">
        <v>0</v>
      </c>
      <c r="G96" s="1">
        <v>0</v>
      </c>
      <c r="H96" s="1">
        <v>0</v>
      </c>
      <c r="I96" s="1">
        <v>2586.7489999999998</v>
      </c>
    </row>
    <row r="97" spans="1:9" hidden="1" x14ac:dyDescent="0.25">
      <c r="A97" s="1" t="s">
        <v>142</v>
      </c>
      <c r="B97" s="1" t="s">
        <v>13</v>
      </c>
      <c r="C97" s="1" t="s">
        <v>10</v>
      </c>
      <c r="D97" s="1">
        <v>0</v>
      </c>
      <c r="E97" s="1">
        <v>174.61</v>
      </c>
      <c r="F97" s="1">
        <v>0</v>
      </c>
      <c r="G97" s="1">
        <v>0</v>
      </c>
      <c r="H97" s="1">
        <v>0</v>
      </c>
      <c r="I97" s="1">
        <v>3258.893</v>
      </c>
    </row>
    <row r="98" spans="1:9" hidden="1" x14ac:dyDescent="0.25">
      <c r="A98" s="1" t="s">
        <v>142</v>
      </c>
      <c r="B98" s="1" t="s">
        <v>21</v>
      </c>
      <c r="C98" s="1" t="s">
        <v>18</v>
      </c>
      <c r="D98" s="1">
        <v>0</v>
      </c>
      <c r="E98" s="1">
        <v>-174.61</v>
      </c>
      <c r="F98" s="1">
        <v>0</v>
      </c>
      <c r="G98" s="1">
        <v>0</v>
      </c>
      <c r="H98" s="1">
        <v>0</v>
      </c>
      <c r="I98" s="1">
        <v>-2586.7489999999998</v>
      </c>
    </row>
    <row r="99" spans="1:9" hidden="1" x14ac:dyDescent="0.25">
      <c r="A99" s="1" t="s">
        <v>142</v>
      </c>
      <c r="B99" s="1" t="s">
        <v>21</v>
      </c>
      <c r="C99" s="1" t="s">
        <v>10</v>
      </c>
      <c r="D99" s="1">
        <v>0</v>
      </c>
      <c r="E99" s="1">
        <v>-174.61</v>
      </c>
      <c r="F99" s="1">
        <v>0</v>
      </c>
      <c r="G99" s="1">
        <v>0</v>
      </c>
      <c r="H99" s="1">
        <v>0</v>
      </c>
      <c r="I99" s="1">
        <v>-3258.893</v>
      </c>
    </row>
    <row r="100" spans="1:9" hidden="1" x14ac:dyDescent="0.25">
      <c r="A100" s="1" t="s">
        <v>143</v>
      </c>
      <c r="B100" s="1" t="s">
        <v>9</v>
      </c>
      <c r="C100" s="1" t="s">
        <v>18</v>
      </c>
      <c r="D100" s="1">
        <v>2332.8000000000002</v>
      </c>
      <c r="E100" s="1">
        <v>0</v>
      </c>
      <c r="F100" s="1">
        <v>0</v>
      </c>
      <c r="G100" s="1">
        <v>0</v>
      </c>
      <c r="H100" s="1">
        <v>0</v>
      </c>
      <c r="I100" s="1">
        <v>-31492.799999999999</v>
      </c>
    </row>
    <row r="101" spans="1:9" x14ac:dyDescent="0.25">
      <c r="A101" s="1" t="s">
        <v>143</v>
      </c>
      <c r="B101" s="1" t="s">
        <v>9</v>
      </c>
      <c r="C101" s="1" t="s">
        <v>10</v>
      </c>
      <c r="D101" s="1">
        <v>2332.8000000000002</v>
      </c>
      <c r="E101" s="1">
        <v>0</v>
      </c>
      <c r="F101" s="1">
        <v>0</v>
      </c>
      <c r="G101" s="1">
        <v>0</v>
      </c>
      <c r="H101" s="1">
        <v>0</v>
      </c>
      <c r="I101" s="1">
        <v>-31492.799999999999</v>
      </c>
    </row>
    <row r="102" spans="1:9" hidden="1" x14ac:dyDescent="0.25">
      <c r="A102" s="1" t="s">
        <v>143</v>
      </c>
      <c r="B102" s="1" t="s">
        <v>19</v>
      </c>
      <c r="C102" s="1" t="s">
        <v>18</v>
      </c>
      <c r="D102" s="1">
        <v>583.20000000000005</v>
      </c>
      <c r="E102" s="1">
        <v>0</v>
      </c>
      <c r="F102" s="1">
        <v>0</v>
      </c>
      <c r="G102" s="1">
        <v>0</v>
      </c>
      <c r="H102" s="1">
        <v>0</v>
      </c>
      <c r="I102" s="1">
        <v>-7873.2</v>
      </c>
    </row>
    <row r="103" spans="1:9" hidden="1" x14ac:dyDescent="0.25">
      <c r="A103" s="1" t="s">
        <v>143</v>
      </c>
      <c r="B103" s="1" t="s">
        <v>19</v>
      </c>
      <c r="C103" s="1" t="s">
        <v>10</v>
      </c>
      <c r="D103" s="1">
        <v>583.20000000000005</v>
      </c>
      <c r="E103" s="1">
        <v>0</v>
      </c>
      <c r="F103" s="1">
        <v>0</v>
      </c>
      <c r="G103" s="1">
        <v>0</v>
      </c>
      <c r="H103" s="1">
        <v>0</v>
      </c>
      <c r="I103" s="1">
        <v>-7873.2</v>
      </c>
    </row>
    <row r="104" spans="1:9" hidden="1" x14ac:dyDescent="0.25">
      <c r="A104" s="1" t="s">
        <v>143</v>
      </c>
      <c r="B104" s="1" t="s">
        <v>92</v>
      </c>
      <c r="C104" s="1" t="s">
        <v>18</v>
      </c>
      <c r="D104" s="1">
        <v>0</v>
      </c>
      <c r="E104" s="1">
        <v>-196.8</v>
      </c>
      <c r="F104" s="1">
        <v>0</v>
      </c>
      <c r="G104" s="1">
        <v>0</v>
      </c>
      <c r="H104" s="1">
        <v>0</v>
      </c>
      <c r="I104" s="1">
        <v>-3340.6590000000001</v>
      </c>
    </row>
    <row r="105" spans="1:9" hidden="1" x14ac:dyDescent="0.25">
      <c r="A105" s="1" t="s">
        <v>143</v>
      </c>
      <c r="B105" s="1" t="s">
        <v>92</v>
      </c>
      <c r="C105" s="1" t="s">
        <v>10</v>
      </c>
      <c r="D105" s="1">
        <v>0</v>
      </c>
      <c r="E105" s="1">
        <v>-196.8</v>
      </c>
      <c r="F105" s="1">
        <v>0</v>
      </c>
      <c r="G105" s="1">
        <v>0</v>
      </c>
      <c r="H105" s="1">
        <v>0</v>
      </c>
      <c r="I105" s="1">
        <v>-4165.5469999999996</v>
      </c>
    </row>
    <row r="106" spans="1:9" hidden="1" x14ac:dyDescent="0.25">
      <c r="A106" s="1" t="s">
        <v>143</v>
      </c>
      <c r="B106" s="1" t="s">
        <v>11</v>
      </c>
      <c r="C106" s="1" t="s">
        <v>18</v>
      </c>
      <c r="D106" s="1">
        <v>0</v>
      </c>
      <c r="E106" s="1">
        <v>155.02000000000001</v>
      </c>
      <c r="F106" s="1">
        <v>0</v>
      </c>
      <c r="G106" s="1">
        <v>0</v>
      </c>
      <c r="H106" s="1">
        <v>0</v>
      </c>
      <c r="I106" s="1">
        <v>2688.4119999999998</v>
      </c>
    </row>
    <row r="107" spans="1:9" hidden="1" x14ac:dyDescent="0.25">
      <c r="A107" s="1" t="s">
        <v>143</v>
      </c>
      <c r="B107" s="1" t="s">
        <v>11</v>
      </c>
      <c r="C107" s="1" t="s">
        <v>10</v>
      </c>
      <c r="D107" s="1">
        <v>0</v>
      </c>
      <c r="E107" s="1">
        <v>155.02000000000001</v>
      </c>
      <c r="F107" s="1">
        <v>0</v>
      </c>
      <c r="G107" s="1">
        <v>0</v>
      </c>
      <c r="H107" s="1">
        <v>0</v>
      </c>
      <c r="I107" s="1">
        <v>3285.4879999999998</v>
      </c>
    </row>
    <row r="108" spans="1:9" hidden="1" x14ac:dyDescent="0.25">
      <c r="A108" s="1" t="s">
        <v>143</v>
      </c>
      <c r="B108" s="1" t="s">
        <v>12</v>
      </c>
      <c r="C108" s="1" t="s">
        <v>18</v>
      </c>
      <c r="D108" s="1">
        <v>275.04000000000002</v>
      </c>
      <c r="E108" s="1">
        <v>0</v>
      </c>
      <c r="F108" s="1">
        <v>0</v>
      </c>
      <c r="G108" s="1">
        <v>0</v>
      </c>
      <c r="H108" s="1">
        <v>0</v>
      </c>
      <c r="I108" s="1">
        <v>-3713.0010000000002</v>
      </c>
    </row>
    <row r="109" spans="1:9" hidden="1" x14ac:dyDescent="0.25">
      <c r="A109" s="1" t="s">
        <v>143</v>
      </c>
      <c r="B109" s="1" t="s">
        <v>12</v>
      </c>
      <c r="C109" s="1" t="s">
        <v>10</v>
      </c>
      <c r="D109" s="1">
        <v>275.04000000000002</v>
      </c>
      <c r="E109" s="1">
        <v>0</v>
      </c>
      <c r="F109" s="1">
        <v>0</v>
      </c>
      <c r="G109" s="1">
        <v>0</v>
      </c>
      <c r="H109" s="1">
        <v>0</v>
      </c>
      <c r="I109" s="1">
        <v>-3713.0010000000002</v>
      </c>
    </row>
    <row r="110" spans="1:9" hidden="1" x14ac:dyDescent="0.25">
      <c r="A110" s="1" t="s">
        <v>143</v>
      </c>
      <c r="B110" s="1" t="s">
        <v>13</v>
      </c>
      <c r="C110" s="1" t="s">
        <v>18</v>
      </c>
      <c r="D110" s="1">
        <v>0</v>
      </c>
      <c r="E110" s="1">
        <v>187.91</v>
      </c>
      <c r="F110" s="1">
        <v>0</v>
      </c>
      <c r="G110" s="1">
        <v>0</v>
      </c>
      <c r="H110" s="1">
        <v>0</v>
      </c>
      <c r="I110" s="1">
        <v>3258.893</v>
      </c>
    </row>
    <row r="111" spans="1:9" hidden="1" x14ac:dyDescent="0.25">
      <c r="A111" s="1" t="s">
        <v>143</v>
      </c>
      <c r="B111" s="1" t="s">
        <v>13</v>
      </c>
      <c r="C111" s="1" t="s">
        <v>10</v>
      </c>
      <c r="D111" s="1">
        <v>0</v>
      </c>
      <c r="E111" s="1">
        <v>187.91</v>
      </c>
      <c r="F111" s="1">
        <v>0</v>
      </c>
      <c r="G111" s="1">
        <v>0</v>
      </c>
      <c r="H111" s="1">
        <v>0</v>
      </c>
      <c r="I111" s="1">
        <v>3982.6680000000001</v>
      </c>
    </row>
    <row r="112" spans="1:9" hidden="1" x14ac:dyDescent="0.25">
      <c r="A112" s="1" t="s">
        <v>143</v>
      </c>
      <c r="B112" s="1" t="s">
        <v>21</v>
      </c>
      <c r="C112" s="1" t="s">
        <v>18</v>
      </c>
      <c r="D112" s="1">
        <v>0</v>
      </c>
      <c r="E112" s="1">
        <v>-187.91</v>
      </c>
      <c r="F112" s="1">
        <v>0</v>
      </c>
      <c r="G112" s="1">
        <v>0</v>
      </c>
      <c r="H112" s="1">
        <v>0</v>
      </c>
      <c r="I112" s="1">
        <v>-3258.893</v>
      </c>
    </row>
    <row r="113" spans="1:9" hidden="1" x14ac:dyDescent="0.25">
      <c r="A113" s="1" t="s">
        <v>143</v>
      </c>
      <c r="B113" s="1" t="s">
        <v>21</v>
      </c>
      <c r="C113" s="1" t="s">
        <v>10</v>
      </c>
      <c r="D113" s="1">
        <v>0</v>
      </c>
      <c r="E113" s="1">
        <v>-187.91</v>
      </c>
      <c r="F113" s="1">
        <v>0</v>
      </c>
      <c r="G113" s="1">
        <v>0</v>
      </c>
      <c r="H113" s="1">
        <v>0</v>
      </c>
      <c r="I113" s="1">
        <v>-3982.6680000000001</v>
      </c>
    </row>
    <row r="114" spans="1:9" hidden="1" x14ac:dyDescent="0.25">
      <c r="A114" s="1" t="s">
        <v>144</v>
      </c>
      <c r="B114" s="1" t="s">
        <v>9</v>
      </c>
      <c r="C114" s="1" t="s">
        <v>18</v>
      </c>
      <c r="D114" s="1">
        <v>2624.4</v>
      </c>
      <c r="E114" s="1">
        <v>0</v>
      </c>
      <c r="F114" s="1">
        <v>0</v>
      </c>
      <c r="G114" s="1">
        <v>0</v>
      </c>
      <c r="H114" s="1">
        <v>0</v>
      </c>
      <c r="I114" s="1">
        <v>-35429.4</v>
      </c>
    </row>
    <row r="115" spans="1:9" x14ac:dyDescent="0.25">
      <c r="A115" s="1" t="s">
        <v>144</v>
      </c>
      <c r="B115" s="1" t="s">
        <v>9</v>
      </c>
      <c r="C115" s="1" t="s">
        <v>10</v>
      </c>
      <c r="D115" s="1">
        <v>2624.4</v>
      </c>
      <c r="E115" s="1">
        <v>0</v>
      </c>
      <c r="F115" s="1">
        <v>0</v>
      </c>
      <c r="G115" s="1">
        <v>0</v>
      </c>
      <c r="H115" s="1">
        <v>0</v>
      </c>
      <c r="I115" s="1">
        <v>-35429.4</v>
      </c>
    </row>
    <row r="116" spans="1:9" hidden="1" x14ac:dyDescent="0.25">
      <c r="A116" s="1" t="s">
        <v>144</v>
      </c>
      <c r="B116" s="1" t="s">
        <v>19</v>
      </c>
      <c r="C116" s="1" t="s">
        <v>18</v>
      </c>
      <c r="D116" s="1">
        <v>656.1</v>
      </c>
      <c r="E116" s="1">
        <v>0</v>
      </c>
      <c r="F116" s="1">
        <v>0</v>
      </c>
      <c r="G116" s="1">
        <v>0</v>
      </c>
      <c r="H116" s="1">
        <v>0</v>
      </c>
      <c r="I116" s="1">
        <v>-8857.35</v>
      </c>
    </row>
    <row r="117" spans="1:9" hidden="1" x14ac:dyDescent="0.25">
      <c r="A117" s="1" t="s">
        <v>144</v>
      </c>
      <c r="B117" s="1" t="s">
        <v>19</v>
      </c>
      <c r="C117" s="1" t="s">
        <v>10</v>
      </c>
      <c r="D117" s="1">
        <v>656.1</v>
      </c>
      <c r="E117" s="1">
        <v>0</v>
      </c>
      <c r="F117" s="1">
        <v>0</v>
      </c>
      <c r="G117" s="1">
        <v>0</v>
      </c>
      <c r="H117" s="1">
        <v>0</v>
      </c>
      <c r="I117" s="1">
        <v>-8857.35</v>
      </c>
    </row>
    <row r="118" spans="1:9" hidden="1" x14ac:dyDescent="0.25">
      <c r="A118" s="1" t="s">
        <v>144</v>
      </c>
      <c r="B118" s="1" t="s">
        <v>92</v>
      </c>
      <c r="C118" s="1" t="s">
        <v>18</v>
      </c>
      <c r="D118" s="1">
        <v>0</v>
      </c>
      <c r="E118" s="1">
        <v>-208.57</v>
      </c>
      <c r="F118" s="1">
        <v>0</v>
      </c>
      <c r="G118" s="1">
        <v>0</v>
      </c>
      <c r="H118" s="1">
        <v>0</v>
      </c>
      <c r="I118" s="1">
        <v>-4165.5469999999996</v>
      </c>
    </row>
    <row r="119" spans="1:9" hidden="1" x14ac:dyDescent="0.25">
      <c r="A119" s="1" t="s">
        <v>144</v>
      </c>
      <c r="B119" s="1" t="s">
        <v>92</v>
      </c>
      <c r="C119" s="1" t="s">
        <v>10</v>
      </c>
      <c r="D119" s="1">
        <v>0</v>
      </c>
      <c r="E119" s="1">
        <v>-208.57</v>
      </c>
      <c r="F119" s="1">
        <v>0</v>
      </c>
      <c r="G119" s="1">
        <v>0</v>
      </c>
      <c r="H119" s="1">
        <v>0</v>
      </c>
      <c r="I119" s="1">
        <v>-5043.9009999999998</v>
      </c>
    </row>
    <row r="120" spans="1:9" hidden="1" x14ac:dyDescent="0.25">
      <c r="A120" s="1" t="s">
        <v>144</v>
      </c>
      <c r="B120" s="1" t="s">
        <v>11</v>
      </c>
      <c r="C120" s="1" t="s">
        <v>18</v>
      </c>
      <c r="D120" s="1">
        <v>0</v>
      </c>
      <c r="E120" s="1">
        <v>165.17</v>
      </c>
      <c r="F120" s="1">
        <v>0</v>
      </c>
      <c r="G120" s="1">
        <v>0</v>
      </c>
      <c r="H120" s="1">
        <v>0</v>
      </c>
      <c r="I120" s="1">
        <v>3285.4879999999998</v>
      </c>
    </row>
    <row r="121" spans="1:9" hidden="1" x14ac:dyDescent="0.25">
      <c r="A121" s="1" t="s">
        <v>144</v>
      </c>
      <c r="B121" s="1" t="s">
        <v>11</v>
      </c>
      <c r="C121" s="1" t="s">
        <v>10</v>
      </c>
      <c r="D121" s="1">
        <v>0</v>
      </c>
      <c r="E121" s="1">
        <v>165.17</v>
      </c>
      <c r="F121" s="1">
        <v>0</v>
      </c>
      <c r="G121" s="1">
        <v>0</v>
      </c>
      <c r="H121" s="1">
        <v>0</v>
      </c>
      <c r="I121" s="1">
        <v>3921.9929999999999</v>
      </c>
    </row>
    <row r="122" spans="1:9" hidden="1" x14ac:dyDescent="0.25">
      <c r="A122" s="1" t="s">
        <v>144</v>
      </c>
      <c r="B122" s="1" t="s">
        <v>12</v>
      </c>
      <c r="C122" s="1" t="s">
        <v>18</v>
      </c>
      <c r="D122" s="1">
        <v>309.42</v>
      </c>
      <c r="E122" s="1">
        <v>0</v>
      </c>
      <c r="F122" s="1">
        <v>0</v>
      </c>
      <c r="G122" s="1">
        <v>0</v>
      </c>
      <c r="H122" s="1">
        <v>0</v>
      </c>
      <c r="I122" s="1">
        <v>-4177.1260000000002</v>
      </c>
    </row>
    <row r="123" spans="1:9" hidden="1" x14ac:dyDescent="0.25">
      <c r="A123" s="1" t="s">
        <v>144</v>
      </c>
      <c r="B123" s="1" t="s">
        <v>12</v>
      </c>
      <c r="C123" s="1" t="s">
        <v>10</v>
      </c>
      <c r="D123" s="1">
        <v>309.42</v>
      </c>
      <c r="E123" s="1">
        <v>0</v>
      </c>
      <c r="F123" s="1">
        <v>0</v>
      </c>
      <c r="G123" s="1">
        <v>0</v>
      </c>
      <c r="H123" s="1">
        <v>0</v>
      </c>
      <c r="I123" s="1">
        <v>-4177.1260000000002</v>
      </c>
    </row>
    <row r="124" spans="1:9" hidden="1" x14ac:dyDescent="0.25">
      <c r="A124" s="1" t="s">
        <v>144</v>
      </c>
      <c r="B124" s="1" t="s">
        <v>13</v>
      </c>
      <c r="C124" s="1" t="s">
        <v>18</v>
      </c>
      <c r="D124" s="1">
        <v>0</v>
      </c>
      <c r="E124" s="1">
        <v>200.21</v>
      </c>
      <c r="F124" s="1">
        <v>0</v>
      </c>
      <c r="G124" s="1">
        <v>0</v>
      </c>
      <c r="H124" s="1">
        <v>0</v>
      </c>
      <c r="I124" s="1">
        <v>3982.6680000000001</v>
      </c>
    </row>
    <row r="125" spans="1:9" hidden="1" x14ac:dyDescent="0.25">
      <c r="A125" s="1" t="s">
        <v>144</v>
      </c>
      <c r="B125" s="1" t="s">
        <v>13</v>
      </c>
      <c r="C125" s="1" t="s">
        <v>10</v>
      </c>
      <c r="D125" s="1">
        <v>0</v>
      </c>
      <c r="E125" s="1">
        <v>200.21</v>
      </c>
      <c r="F125" s="1">
        <v>0</v>
      </c>
      <c r="G125" s="1">
        <v>0</v>
      </c>
      <c r="H125" s="1">
        <v>0</v>
      </c>
      <c r="I125" s="1">
        <v>4754.24</v>
      </c>
    </row>
    <row r="126" spans="1:9" hidden="1" x14ac:dyDescent="0.25">
      <c r="A126" s="1" t="s">
        <v>144</v>
      </c>
      <c r="B126" s="1" t="s">
        <v>21</v>
      </c>
      <c r="C126" s="1" t="s">
        <v>18</v>
      </c>
      <c r="D126" s="1">
        <v>0</v>
      </c>
      <c r="E126" s="1">
        <v>-200.21</v>
      </c>
      <c r="F126" s="1">
        <v>0</v>
      </c>
      <c r="G126" s="1">
        <v>0</v>
      </c>
      <c r="H126" s="1">
        <v>0</v>
      </c>
      <c r="I126" s="1">
        <v>-3982.6680000000001</v>
      </c>
    </row>
    <row r="127" spans="1:9" hidden="1" x14ac:dyDescent="0.25">
      <c r="A127" s="1" t="s">
        <v>144</v>
      </c>
      <c r="B127" s="1" t="s">
        <v>21</v>
      </c>
      <c r="C127" s="1" t="s">
        <v>10</v>
      </c>
      <c r="D127" s="1">
        <v>0</v>
      </c>
      <c r="E127" s="1">
        <v>-200.21</v>
      </c>
      <c r="F127" s="1">
        <v>0</v>
      </c>
      <c r="G127" s="1">
        <v>0</v>
      </c>
      <c r="H127" s="1">
        <v>0</v>
      </c>
      <c r="I127" s="1">
        <v>-4754.24</v>
      </c>
    </row>
    <row r="128" spans="1:9" hidden="1" x14ac:dyDescent="0.25">
      <c r="A128" s="1" t="s">
        <v>91</v>
      </c>
      <c r="B128" s="1" t="s">
        <v>9</v>
      </c>
      <c r="C128" s="1" t="s">
        <v>18</v>
      </c>
      <c r="D128" s="1">
        <v>2916</v>
      </c>
      <c r="E128" s="1">
        <v>0</v>
      </c>
      <c r="F128" s="1">
        <v>0</v>
      </c>
      <c r="G128" s="1">
        <v>0</v>
      </c>
      <c r="H128" s="1">
        <v>0</v>
      </c>
      <c r="I128" s="1">
        <v>-39366</v>
      </c>
    </row>
    <row r="129" spans="1:9" x14ac:dyDescent="0.25">
      <c r="A129" s="1" t="s">
        <v>91</v>
      </c>
      <c r="B129" s="1" t="s">
        <v>9</v>
      </c>
      <c r="C129" s="1" t="s">
        <v>10</v>
      </c>
      <c r="D129" s="1">
        <v>2916</v>
      </c>
      <c r="E129" s="1">
        <v>0</v>
      </c>
      <c r="F129" s="1">
        <v>0</v>
      </c>
      <c r="G129" s="1">
        <v>0</v>
      </c>
      <c r="H129" s="1">
        <v>0</v>
      </c>
      <c r="I129" s="1">
        <v>-39366</v>
      </c>
    </row>
    <row r="130" spans="1:9" hidden="1" x14ac:dyDescent="0.25">
      <c r="A130" s="1" t="s">
        <v>91</v>
      </c>
      <c r="B130" s="1" t="s">
        <v>19</v>
      </c>
      <c r="C130" s="1" t="s">
        <v>18</v>
      </c>
      <c r="D130" s="1">
        <v>729</v>
      </c>
      <c r="E130" s="1">
        <v>0</v>
      </c>
      <c r="F130" s="1">
        <v>0</v>
      </c>
      <c r="G130" s="1">
        <v>0</v>
      </c>
      <c r="H130" s="1">
        <v>0</v>
      </c>
      <c r="I130" s="1">
        <v>-9841.5</v>
      </c>
    </row>
    <row r="131" spans="1:9" hidden="1" x14ac:dyDescent="0.25">
      <c r="A131" s="1" t="s">
        <v>91</v>
      </c>
      <c r="B131" s="1" t="s">
        <v>19</v>
      </c>
      <c r="C131" s="1" t="s">
        <v>10</v>
      </c>
      <c r="D131" s="1">
        <v>729</v>
      </c>
      <c r="E131" s="1">
        <v>0</v>
      </c>
      <c r="F131" s="1">
        <v>0</v>
      </c>
      <c r="G131" s="1">
        <v>0</v>
      </c>
      <c r="H131" s="1">
        <v>0</v>
      </c>
      <c r="I131" s="1">
        <v>-9841.5</v>
      </c>
    </row>
    <row r="132" spans="1:9" hidden="1" x14ac:dyDescent="0.25">
      <c r="A132" s="1" t="s">
        <v>91</v>
      </c>
      <c r="B132" s="1" t="s">
        <v>92</v>
      </c>
      <c r="C132" s="1" t="s">
        <v>18</v>
      </c>
      <c r="D132" s="1">
        <v>0</v>
      </c>
      <c r="E132" s="1">
        <v>-217.48</v>
      </c>
      <c r="F132" s="1">
        <v>0</v>
      </c>
      <c r="G132" s="1">
        <v>0</v>
      </c>
      <c r="H132" s="1">
        <v>0</v>
      </c>
      <c r="I132" s="1">
        <v>-5043.9009999999998</v>
      </c>
    </row>
    <row r="133" spans="1:9" hidden="1" x14ac:dyDescent="0.25">
      <c r="A133" s="1" t="s">
        <v>91</v>
      </c>
      <c r="B133" s="1" t="s">
        <v>92</v>
      </c>
      <c r="C133" s="1" t="s">
        <v>10</v>
      </c>
      <c r="D133" s="1">
        <v>0</v>
      </c>
      <c r="E133" s="1">
        <v>-217.48</v>
      </c>
      <c r="F133" s="1">
        <v>0</v>
      </c>
      <c r="G133" s="1">
        <v>0</v>
      </c>
      <c r="H133" s="1">
        <v>0</v>
      </c>
      <c r="I133" s="1">
        <v>-5962.8220000000001</v>
      </c>
    </row>
    <row r="134" spans="1:9" hidden="1" x14ac:dyDescent="0.25">
      <c r="A134" s="1" t="s">
        <v>91</v>
      </c>
      <c r="B134" s="1" t="s">
        <v>11</v>
      </c>
      <c r="C134" s="1" t="s">
        <v>18</v>
      </c>
      <c r="D134" s="1">
        <v>0</v>
      </c>
      <c r="E134" s="1">
        <v>174.46</v>
      </c>
      <c r="F134" s="1">
        <v>0</v>
      </c>
      <c r="G134" s="1">
        <v>0</v>
      </c>
      <c r="H134" s="1">
        <v>0</v>
      </c>
      <c r="I134" s="1">
        <v>3921.9929999999999</v>
      </c>
    </row>
    <row r="135" spans="1:9" hidden="1" x14ac:dyDescent="0.25">
      <c r="A135" s="1" t="s">
        <v>91</v>
      </c>
      <c r="B135" s="1" t="s">
        <v>11</v>
      </c>
      <c r="C135" s="1" t="s">
        <v>10</v>
      </c>
      <c r="D135" s="1">
        <v>0</v>
      </c>
      <c r="E135" s="1">
        <v>174.46</v>
      </c>
      <c r="F135" s="1">
        <v>0</v>
      </c>
      <c r="G135" s="1">
        <v>0</v>
      </c>
      <c r="H135" s="1">
        <v>0</v>
      </c>
      <c r="I135" s="1">
        <v>4594.0550000000003</v>
      </c>
    </row>
    <row r="136" spans="1:9" hidden="1" x14ac:dyDescent="0.25">
      <c r="A136" s="1" t="s">
        <v>91</v>
      </c>
      <c r="B136" s="1" t="s">
        <v>12</v>
      </c>
      <c r="C136" s="1" t="s">
        <v>18</v>
      </c>
      <c r="D136" s="1">
        <v>343.8</v>
      </c>
      <c r="E136" s="1">
        <v>0</v>
      </c>
      <c r="F136" s="1">
        <v>0</v>
      </c>
      <c r="G136" s="1">
        <v>0</v>
      </c>
      <c r="H136" s="1">
        <v>0</v>
      </c>
      <c r="I136" s="1">
        <v>-4641.2510000000002</v>
      </c>
    </row>
    <row r="137" spans="1:9" hidden="1" x14ac:dyDescent="0.25">
      <c r="A137" s="1" t="s">
        <v>91</v>
      </c>
      <c r="B137" s="1" t="s">
        <v>12</v>
      </c>
      <c r="C137" s="1" t="s">
        <v>10</v>
      </c>
      <c r="D137" s="1">
        <v>343.8</v>
      </c>
      <c r="E137" s="1">
        <v>0</v>
      </c>
      <c r="F137" s="1">
        <v>0</v>
      </c>
      <c r="G137" s="1">
        <v>0</v>
      </c>
      <c r="H137" s="1">
        <v>0</v>
      </c>
      <c r="I137" s="1">
        <v>-4641.2510000000002</v>
      </c>
    </row>
    <row r="138" spans="1:9" hidden="1" x14ac:dyDescent="0.25">
      <c r="A138" s="1" t="s">
        <v>91</v>
      </c>
      <c r="B138" s="1" t="s">
        <v>13</v>
      </c>
      <c r="C138" s="1" t="s">
        <v>18</v>
      </c>
      <c r="D138" s="1">
        <v>0</v>
      </c>
      <c r="E138" s="1">
        <v>211.48</v>
      </c>
      <c r="F138" s="1">
        <v>0</v>
      </c>
      <c r="G138" s="1">
        <v>0</v>
      </c>
      <c r="H138" s="1">
        <v>0</v>
      </c>
      <c r="I138" s="1">
        <v>4754.24</v>
      </c>
    </row>
    <row r="139" spans="1:9" hidden="1" x14ac:dyDescent="0.25">
      <c r="A139" s="1" t="s">
        <v>91</v>
      </c>
      <c r="B139" s="1" t="s">
        <v>13</v>
      </c>
      <c r="C139" s="1" t="s">
        <v>10</v>
      </c>
      <c r="D139" s="1">
        <v>0</v>
      </c>
      <c r="E139" s="1">
        <v>211.48</v>
      </c>
      <c r="F139" s="1">
        <v>0</v>
      </c>
      <c r="G139" s="1">
        <v>0</v>
      </c>
      <c r="H139" s="1">
        <v>0</v>
      </c>
      <c r="I139" s="1">
        <v>5568.9139999999998</v>
      </c>
    </row>
    <row r="140" spans="1:9" hidden="1" x14ac:dyDescent="0.25">
      <c r="A140" s="1" t="s">
        <v>91</v>
      </c>
      <c r="B140" s="1" t="s">
        <v>21</v>
      </c>
      <c r="C140" s="1" t="s">
        <v>18</v>
      </c>
      <c r="D140" s="1">
        <v>0</v>
      </c>
      <c r="E140" s="1">
        <v>-211.48</v>
      </c>
      <c r="F140" s="1">
        <v>0</v>
      </c>
      <c r="G140" s="1">
        <v>0</v>
      </c>
      <c r="H140" s="1">
        <v>0</v>
      </c>
      <c r="I140" s="1">
        <v>-4754.24</v>
      </c>
    </row>
    <row r="141" spans="1:9" hidden="1" x14ac:dyDescent="0.25">
      <c r="A141" s="1" t="s">
        <v>91</v>
      </c>
      <c r="B141" s="1" t="s">
        <v>21</v>
      </c>
      <c r="C141" s="1" t="s">
        <v>10</v>
      </c>
      <c r="D141" s="1">
        <v>0</v>
      </c>
      <c r="E141" s="1">
        <v>-211.48</v>
      </c>
      <c r="F141" s="1">
        <v>0</v>
      </c>
      <c r="G141" s="1">
        <v>0</v>
      </c>
      <c r="H141" s="1">
        <v>0</v>
      </c>
      <c r="I141" s="1">
        <v>-5568.9139999999998</v>
      </c>
    </row>
    <row r="142" spans="1:9" hidden="1" x14ac:dyDescent="0.25">
      <c r="A142" s="1" t="s">
        <v>17</v>
      </c>
      <c r="B142" s="1" t="s">
        <v>9</v>
      </c>
      <c r="C142" s="1" t="s">
        <v>18</v>
      </c>
      <c r="D142" s="1">
        <v>3207.6</v>
      </c>
      <c r="E142" s="1">
        <v>0</v>
      </c>
      <c r="F142" s="1">
        <v>0</v>
      </c>
      <c r="G142" s="1">
        <v>0</v>
      </c>
      <c r="H142" s="1">
        <v>0</v>
      </c>
      <c r="I142" s="1">
        <v>-43302.6</v>
      </c>
    </row>
    <row r="143" spans="1:9" x14ac:dyDescent="0.25">
      <c r="A143" s="1" t="s">
        <v>17</v>
      </c>
      <c r="B143" s="1" t="s">
        <v>9</v>
      </c>
      <c r="C143" s="1" t="s">
        <v>10</v>
      </c>
      <c r="D143" s="1">
        <v>3207.6</v>
      </c>
      <c r="E143" s="1">
        <v>0</v>
      </c>
      <c r="F143" s="1">
        <v>0</v>
      </c>
      <c r="G143" s="1">
        <v>0</v>
      </c>
      <c r="H143" s="1">
        <v>0</v>
      </c>
      <c r="I143" s="1">
        <v>-43302.6</v>
      </c>
    </row>
    <row r="144" spans="1:9" hidden="1" x14ac:dyDescent="0.25">
      <c r="A144" s="1" t="s">
        <v>17</v>
      </c>
      <c r="B144" s="1" t="s">
        <v>19</v>
      </c>
      <c r="C144" s="1" t="s">
        <v>18</v>
      </c>
      <c r="D144" s="1">
        <v>801.9</v>
      </c>
      <c r="E144" s="1">
        <v>0</v>
      </c>
      <c r="F144" s="1">
        <v>0</v>
      </c>
      <c r="G144" s="1">
        <v>0</v>
      </c>
      <c r="H144" s="1">
        <v>0</v>
      </c>
      <c r="I144" s="1">
        <v>-10825.65</v>
      </c>
    </row>
    <row r="145" spans="1:9" hidden="1" x14ac:dyDescent="0.25">
      <c r="A145" s="1" t="s">
        <v>17</v>
      </c>
      <c r="B145" s="1" t="s">
        <v>19</v>
      </c>
      <c r="C145" s="1" t="s">
        <v>10</v>
      </c>
      <c r="D145" s="1">
        <v>801.9</v>
      </c>
      <c r="E145" s="1">
        <v>0</v>
      </c>
      <c r="F145" s="1">
        <v>0</v>
      </c>
      <c r="G145" s="1">
        <v>0</v>
      </c>
      <c r="H145" s="1">
        <v>0</v>
      </c>
      <c r="I145" s="1">
        <v>-10825.65</v>
      </c>
    </row>
    <row r="146" spans="1:9" hidden="1" x14ac:dyDescent="0.25">
      <c r="A146" s="1" t="s">
        <v>17</v>
      </c>
      <c r="B146" s="1" t="s">
        <v>92</v>
      </c>
      <c r="C146" s="1" t="s">
        <v>18</v>
      </c>
      <c r="D146" s="1">
        <v>0</v>
      </c>
      <c r="E146" s="1">
        <v>-223.54</v>
      </c>
      <c r="F146" s="1">
        <v>0</v>
      </c>
      <c r="G146" s="1">
        <v>0</v>
      </c>
      <c r="H146" s="1">
        <v>0</v>
      </c>
      <c r="I146" s="1">
        <v>-5962.8220000000001</v>
      </c>
    </row>
    <row r="147" spans="1:9" hidden="1" x14ac:dyDescent="0.25">
      <c r="A147" s="1" t="s">
        <v>17</v>
      </c>
      <c r="B147" s="1" t="s">
        <v>92</v>
      </c>
      <c r="C147" s="1" t="s">
        <v>10</v>
      </c>
      <c r="D147" s="1">
        <v>0</v>
      </c>
      <c r="E147" s="1">
        <v>-223.54</v>
      </c>
      <c r="F147" s="1">
        <v>0</v>
      </c>
      <c r="G147" s="1">
        <v>0</v>
      </c>
      <c r="H147" s="1">
        <v>0</v>
      </c>
      <c r="I147" s="1">
        <v>-6905.9750000000004</v>
      </c>
    </row>
    <row r="148" spans="1:9" hidden="1" x14ac:dyDescent="0.25">
      <c r="A148" s="1" t="s">
        <v>17</v>
      </c>
      <c r="B148" s="1" t="s">
        <v>11</v>
      </c>
      <c r="C148" s="1" t="s">
        <v>18</v>
      </c>
      <c r="D148" s="1">
        <v>0</v>
      </c>
      <c r="E148" s="1">
        <v>182.29</v>
      </c>
      <c r="F148" s="1">
        <v>0</v>
      </c>
      <c r="G148" s="1">
        <v>0</v>
      </c>
      <c r="H148" s="1">
        <v>0</v>
      </c>
      <c r="I148" s="1">
        <v>4594.0550000000003</v>
      </c>
    </row>
    <row r="149" spans="1:9" hidden="1" x14ac:dyDescent="0.25">
      <c r="A149" s="1" t="s">
        <v>17</v>
      </c>
      <c r="B149" s="1" t="s">
        <v>11</v>
      </c>
      <c r="C149" s="1" t="s">
        <v>10</v>
      </c>
      <c r="D149" s="1">
        <v>0</v>
      </c>
      <c r="E149" s="1">
        <v>182.29</v>
      </c>
      <c r="F149" s="1">
        <v>0</v>
      </c>
      <c r="G149" s="1">
        <v>0</v>
      </c>
      <c r="H149" s="1">
        <v>0</v>
      </c>
      <c r="I149" s="1">
        <v>5294.6890000000003</v>
      </c>
    </row>
    <row r="150" spans="1:9" hidden="1" x14ac:dyDescent="0.25">
      <c r="A150" s="1" t="s">
        <v>17</v>
      </c>
      <c r="B150" s="1" t="s">
        <v>12</v>
      </c>
      <c r="C150" s="1" t="s">
        <v>18</v>
      </c>
      <c r="D150" s="1">
        <v>378.18</v>
      </c>
      <c r="E150" s="1">
        <v>0</v>
      </c>
      <c r="F150" s="1">
        <v>0</v>
      </c>
      <c r="G150" s="1">
        <v>0</v>
      </c>
      <c r="H150" s="1">
        <v>0</v>
      </c>
      <c r="I150" s="1">
        <v>-5105.3770000000004</v>
      </c>
    </row>
    <row r="151" spans="1:9" hidden="1" x14ac:dyDescent="0.25">
      <c r="A151" s="1" t="s">
        <v>17</v>
      </c>
      <c r="B151" s="1" t="s">
        <v>12</v>
      </c>
      <c r="C151" s="1" t="s">
        <v>10</v>
      </c>
      <c r="D151" s="1">
        <v>378.18</v>
      </c>
      <c r="E151" s="1">
        <v>0</v>
      </c>
      <c r="F151" s="1">
        <v>0</v>
      </c>
      <c r="G151" s="1">
        <v>0</v>
      </c>
      <c r="H151" s="1">
        <v>0</v>
      </c>
      <c r="I151" s="1">
        <v>-5105.3770000000004</v>
      </c>
    </row>
    <row r="152" spans="1:9" hidden="1" x14ac:dyDescent="0.25">
      <c r="A152" s="1" t="s">
        <v>17</v>
      </c>
      <c r="B152" s="1" t="s">
        <v>13</v>
      </c>
      <c r="C152" s="1" t="s">
        <v>18</v>
      </c>
      <c r="D152" s="1">
        <v>0</v>
      </c>
      <c r="E152" s="1">
        <v>220.97</v>
      </c>
      <c r="F152" s="1">
        <v>0</v>
      </c>
      <c r="G152" s="1">
        <v>0</v>
      </c>
      <c r="H152" s="1">
        <v>0</v>
      </c>
      <c r="I152" s="1">
        <v>5568.9139999999998</v>
      </c>
    </row>
    <row r="153" spans="1:9" hidden="1" x14ac:dyDescent="0.25">
      <c r="A153" s="1" t="s">
        <v>17</v>
      </c>
      <c r="B153" s="1" t="s">
        <v>13</v>
      </c>
      <c r="C153" s="1" t="s">
        <v>10</v>
      </c>
      <c r="D153" s="1">
        <v>0</v>
      </c>
      <c r="E153" s="1">
        <v>220.97</v>
      </c>
      <c r="F153" s="1">
        <v>0</v>
      </c>
      <c r="G153" s="1">
        <v>0</v>
      </c>
      <c r="H153" s="1">
        <v>0</v>
      </c>
      <c r="I153" s="1">
        <v>6418.2219999999998</v>
      </c>
    </row>
    <row r="154" spans="1:9" hidden="1" x14ac:dyDescent="0.25">
      <c r="A154" s="1" t="s">
        <v>17</v>
      </c>
      <c r="B154" s="1" t="s">
        <v>21</v>
      </c>
      <c r="C154" s="1" t="s">
        <v>18</v>
      </c>
      <c r="D154" s="1">
        <v>0</v>
      </c>
      <c r="E154" s="1">
        <v>-220.97</v>
      </c>
      <c r="F154" s="1">
        <v>0</v>
      </c>
      <c r="G154" s="1">
        <v>0</v>
      </c>
      <c r="H154" s="1">
        <v>0</v>
      </c>
      <c r="I154" s="1">
        <v>-5568.9139999999998</v>
      </c>
    </row>
    <row r="155" spans="1:9" hidden="1" x14ac:dyDescent="0.25">
      <c r="A155" s="1" t="s">
        <v>17</v>
      </c>
      <c r="B155" s="1" t="s">
        <v>21</v>
      </c>
      <c r="C155" s="1" t="s">
        <v>10</v>
      </c>
      <c r="D155" s="1">
        <v>0</v>
      </c>
      <c r="E155" s="1">
        <v>-220.97</v>
      </c>
      <c r="F155" s="1">
        <v>0</v>
      </c>
      <c r="G155" s="1">
        <v>0</v>
      </c>
      <c r="H155" s="1">
        <v>0</v>
      </c>
      <c r="I155" s="1">
        <v>-6418.2219999999998</v>
      </c>
    </row>
    <row r="156" spans="1:9" hidden="1" x14ac:dyDescent="0.25">
      <c r="A156" s="1" t="s">
        <v>14</v>
      </c>
      <c r="B156" s="1" t="s">
        <v>9</v>
      </c>
      <c r="C156" s="1" t="s">
        <v>18</v>
      </c>
      <c r="D156" s="1">
        <v>3499.2</v>
      </c>
      <c r="E156" s="1">
        <v>0</v>
      </c>
      <c r="F156" s="1">
        <v>0</v>
      </c>
      <c r="G156" s="1">
        <v>0</v>
      </c>
      <c r="H156" s="1">
        <v>0</v>
      </c>
      <c r="I156" s="1">
        <v>-47239.199999999997</v>
      </c>
    </row>
    <row r="157" spans="1:9" x14ac:dyDescent="0.25">
      <c r="A157" s="1" t="s">
        <v>14</v>
      </c>
      <c r="B157" s="1" t="s">
        <v>9</v>
      </c>
      <c r="C157" s="1" t="s">
        <v>10</v>
      </c>
      <c r="D157" s="1">
        <v>3499.2</v>
      </c>
      <c r="E157" s="1">
        <v>0</v>
      </c>
      <c r="F157" s="1">
        <v>0</v>
      </c>
      <c r="G157" s="1">
        <v>0</v>
      </c>
      <c r="H157" s="1">
        <v>0</v>
      </c>
      <c r="I157" s="1">
        <v>-47239.199999999997</v>
      </c>
    </row>
    <row r="158" spans="1:9" hidden="1" x14ac:dyDescent="0.25">
      <c r="A158" s="1" t="s">
        <v>14</v>
      </c>
      <c r="B158" s="1" t="s">
        <v>19</v>
      </c>
      <c r="C158" s="1" t="s">
        <v>18</v>
      </c>
      <c r="D158" s="1">
        <v>874.8</v>
      </c>
      <c r="E158" s="1">
        <v>0</v>
      </c>
      <c r="F158" s="1">
        <v>0</v>
      </c>
      <c r="G158" s="1">
        <v>0</v>
      </c>
      <c r="H158" s="1">
        <v>0</v>
      </c>
      <c r="I158" s="1">
        <v>-11809.8</v>
      </c>
    </row>
    <row r="159" spans="1:9" hidden="1" x14ac:dyDescent="0.25">
      <c r="A159" s="1" t="s">
        <v>14</v>
      </c>
      <c r="B159" s="1" t="s">
        <v>19</v>
      </c>
      <c r="C159" s="1" t="s">
        <v>10</v>
      </c>
      <c r="D159" s="1">
        <v>874.8</v>
      </c>
      <c r="E159" s="1">
        <v>0</v>
      </c>
      <c r="F159" s="1">
        <v>0</v>
      </c>
      <c r="G159" s="1">
        <v>0</v>
      </c>
      <c r="H159" s="1">
        <v>0</v>
      </c>
      <c r="I159" s="1">
        <v>-11809.8</v>
      </c>
    </row>
    <row r="160" spans="1:9" hidden="1" x14ac:dyDescent="0.25">
      <c r="A160" s="1" t="s">
        <v>14</v>
      </c>
      <c r="B160" s="1" t="s">
        <v>92</v>
      </c>
      <c r="C160" s="1" t="s">
        <v>18</v>
      </c>
      <c r="D160" s="1">
        <v>0</v>
      </c>
      <c r="E160" s="1">
        <v>-226.75</v>
      </c>
      <c r="F160" s="1">
        <v>0</v>
      </c>
      <c r="G160" s="1">
        <v>0</v>
      </c>
      <c r="H160" s="1">
        <v>0</v>
      </c>
      <c r="I160" s="1">
        <v>-6905.9750000000004</v>
      </c>
    </row>
    <row r="161" spans="1:9" hidden="1" x14ac:dyDescent="0.25">
      <c r="A161" s="1" t="s">
        <v>14</v>
      </c>
      <c r="B161" s="1" t="s">
        <v>92</v>
      </c>
      <c r="C161" s="1" t="s">
        <v>10</v>
      </c>
      <c r="D161" s="1">
        <v>0</v>
      </c>
      <c r="E161" s="1">
        <v>-226.75</v>
      </c>
      <c r="F161" s="1">
        <v>0</v>
      </c>
      <c r="G161" s="1">
        <v>0</v>
      </c>
      <c r="H161" s="1">
        <v>0</v>
      </c>
      <c r="I161" s="1">
        <v>-7961.085</v>
      </c>
    </row>
    <row r="162" spans="1:9" hidden="1" x14ac:dyDescent="0.25">
      <c r="A162" s="1" t="s">
        <v>14</v>
      </c>
      <c r="B162" s="1" t="s">
        <v>11</v>
      </c>
      <c r="C162" s="1" t="s">
        <v>18</v>
      </c>
      <c r="D162" s="1">
        <v>0</v>
      </c>
      <c r="E162" s="1">
        <v>187.06</v>
      </c>
      <c r="F162" s="1">
        <v>0</v>
      </c>
      <c r="G162" s="1">
        <v>0</v>
      </c>
      <c r="H162" s="1">
        <v>0</v>
      </c>
      <c r="I162" s="1">
        <v>5294.6890000000003</v>
      </c>
    </row>
    <row r="163" spans="1:9" hidden="1" x14ac:dyDescent="0.25">
      <c r="A163" s="1" t="s">
        <v>14</v>
      </c>
      <c r="B163" s="1" t="s">
        <v>11</v>
      </c>
      <c r="C163" s="1" t="s">
        <v>10</v>
      </c>
      <c r="D163" s="1">
        <v>0</v>
      </c>
      <c r="E163" s="1">
        <v>187.06</v>
      </c>
      <c r="F163" s="1">
        <v>0</v>
      </c>
      <c r="G163" s="1">
        <v>0</v>
      </c>
      <c r="H163" s="1">
        <v>0</v>
      </c>
      <c r="I163" s="1">
        <v>6094.1670000000004</v>
      </c>
    </row>
    <row r="164" spans="1:9" hidden="1" x14ac:dyDescent="0.25">
      <c r="A164" s="1" t="s">
        <v>14</v>
      </c>
      <c r="B164" s="1" t="s">
        <v>12</v>
      </c>
      <c r="C164" s="1" t="s">
        <v>18</v>
      </c>
      <c r="D164" s="1">
        <v>412.56</v>
      </c>
      <c r="E164" s="1">
        <v>0</v>
      </c>
      <c r="F164" s="1">
        <v>0</v>
      </c>
      <c r="G164" s="1">
        <v>0</v>
      </c>
      <c r="H164" s="1">
        <v>0</v>
      </c>
      <c r="I164" s="1">
        <v>-5569.5020000000004</v>
      </c>
    </row>
    <row r="165" spans="1:9" hidden="1" x14ac:dyDescent="0.25">
      <c r="A165" s="1" t="s">
        <v>14</v>
      </c>
      <c r="B165" s="1" t="s">
        <v>12</v>
      </c>
      <c r="C165" s="1" t="s">
        <v>10</v>
      </c>
      <c r="D165" s="1">
        <v>412.56</v>
      </c>
      <c r="E165" s="1">
        <v>0</v>
      </c>
      <c r="F165" s="1">
        <v>0</v>
      </c>
      <c r="G165" s="1">
        <v>0</v>
      </c>
      <c r="H165" s="1">
        <v>0</v>
      </c>
      <c r="I165" s="1">
        <v>-5569.5020000000004</v>
      </c>
    </row>
    <row r="166" spans="1:9" hidden="1" x14ac:dyDescent="0.25">
      <c r="A166" s="1" t="s">
        <v>14</v>
      </c>
      <c r="B166" s="1" t="s">
        <v>13</v>
      </c>
      <c r="C166" s="1" t="s">
        <v>18</v>
      </c>
      <c r="D166" s="1">
        <v>0</v>
      </c>
      <c r="E166" s="1">
        <v>226.76</v>
      </c>
      <c r="F166" s="1">
        <v>0</v>
      </c>
      <c r="G166" s="1">
        <v>0</v>
      </c>
      <c r="H166" s="1">
        <v>0</v>
      </c>
      <c r="I166" s="1">
        <v>6418.2219999999998</v>
      </c>
    </row>
    <row r="167" spans="1:9" hidden="1" x14ac:dyDescent="0.25">
      <c r="A167" s="1" t="s">
        <v>14</v>
      </c>
      <c r="B167" s="1" t="s">
        <v>13</v>
      </c>
      <c r="C167" s="1" t="s">
        <v>10</v>
      </c>
      <c r="D167" s="1">
        <v>0</v>
      </c>
      <c r="E167" s="1">
        <v>226.76</v>
      </c>
      <c r="F167" s="1">
        <v>0</v>
      </c>
      <c r="G167" s="1">
        <v>0</v>
      </c>
      <c r="H167" s="1">
        <v>0</v>
      </c>
      <c r="I167" s="1">
        <v>7387.3490000000002</v>
      </c>
    </row>
    <row r="168" spans="1:9" hidden="1" x14ac:dyDescent="0.25">
      <c r="A168" s="1" t="s">
        <v>14</v>
      </c>
      <c r="B168" s="1" t="s">
        <v>21</v>
      </c>
      <c r="C168" s="1" t="s">
        <v>18</v>
      </c>
      <c r="D168" s="1">
        <v>0</v>
      </c>
      <c r="E168" s="1">
        <v>-226.76</v>
      </c>
      <c r="F168" s="1">
        <v>0</v>
      </c>
      <c r="G168" s="1">
        <v>0</v>
      </c>
      <c r="H168" s="1">
        <v>0</v>
      </c>
      <c r="I168" s="1">
        <v>-6418.2219999999998</v>
      </c>
    </row>
    <row r="169" spans="1:9" hidden="1" x14ac:dyDescent="0.25">
      <c r="A169" s="1" t="s">
        <v>14</v>
      </c>
      <c r="B169" s="1" t="s">
        <v>21</v>
      </c>
      <c r="C169" s="1" t="s">
        <v>10</v>
      </c>
      <c r="D169" s="1">
        <v>0</v>
      </c>
      <c r="E169" s="1">
        <v>-226.76</v>
      </c>
      <c r="F169" s="1">
        <v>0</v>
      </c>
      <c r="G169" s="1">
        <v>0</v>
      </c>
      <c r="H169" s="1">
        <v>0</v>
      </c>
      <c r="I169" s="1">
        <v>-7387.3490000000002</v>
      </c>
    </row>
  </sheetData>
  <autoFilter ref="A1:I169">
    <filterColumn colId="1">
      <filters>
        <filter val="D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 filterMode="1"/>
  <dimension ref="A1:I169"/>
  <sheetViews>
    <sheetView workbookViewId="0">
      <selection activeCell="D3" sqref="D3:D169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29</v>
      </c>
      <c r="B2" s="1" t="s">
        <v>9</v>
      </c>
      <c r="C2" s="1" t="s">
        <v>18</v>
      </c>
      <c r="D2" s="1">
        <v>291.60000000000002</v>
      </c>
      <c r="E2" s="1">
        <v>0</v>
      </c>
      <c r="F2" s="1">
        <v>0</v>
      </c>
      <c r="G2" s="1">
        <v>0</v>
      </c>
      <c r="H2" s="1">
        <v>0</v>
      </c>
      <c r="I2" s="1">
        <v>-3936.6</v>
      </c>
    </row>
    <row r="3" spans="1:9" hidden="1" x14ac:dyDescent="0.25">
      <c r="A3" s="1" t="s">
        <v>29</v>
      </c>
      <c r="B3" s="1" t="s">
        <v>9</v>
      </c>
      <c r="C3" s="1" t="s">
        <v>10</v>
      </c>
      <c r="D3" s="1">
        <v>291.60000000000002</v>
      </c>
      <c r="E3" s="1">
        <v>0</v>
      </c>
      <c r="F3" s="1">
        <v>0</v>
      </c>
      <c r="G3" s="1">
        <v>0</v>
      </c>
      <c r="H3" s="1">
        <v>0</v>
      </c>
      <c r="I3" s="1">
        <v>-3936.6</v>
      </c>
    </row>
    <row r="4" spans="1:9" hidden="1" x14ac:dyDescent="0.25">
      <c r="A4" s="1" t="s">
        <v>29</v>
      </c>
      <c r="B4" s="1" t="s">
        <v>19</v>
      </c>
      <c r="C4" s="1" t="s">
        <v>18</v>
      </c>
      <c r="D4" s="1">
        <v>72.900000000000006</v>
      </c>
      <c r="E4" s="1">
        <v>0</v>
      </c>
      <c r="F4" s="1">
        <v>0</v>
      </c>
      <c r="G4" s="1">
        <v>0</v>
      </c>
      <c r="H4" s="1">
        <v>0</v>
      </c>
      <c r="I4" s="1">
        <v>-984.15</v>
      </c>
    </row>
    <row r="5" spans="1:9" x14ac:dyDescent="0.25">
      <c r="A5" s="1" t="s">
        <v>29</v>
      </c>
      <c r="B5" s="1" t="s">
        <v>19</v>
      </c>
      <c r="C5" s="1" t="s">
        <v>10</v>
      </c>
      <c r="D5" s="1">
        <v>72.900000000000006</v>
      </c>
      <c r="E5" s="1">
        <v>0</v>
      </c>
      <c r="F5" s="1">
        <v>0</v>
      </c>
      <c r="G5" s="1">
        <v>0</v>
      </c>
      <c r="H5" s="1">
        <v>0</v>
      </c>
      <c r="I5" s="1">
        <v>-984.15</v>
      </c>
    </row>
    <row r="6" spans="1:9" hidden="1" x14ac:dyDescent="0.25">
      <c r="A6" s="1" t="s">
        <v>29</v>
      </c>
      <c r="B6" s="1" t="s">
        <v>92</v>
      </c>
      <c r="C6" s="1" t="s">
        <v>18</v>
      </c>
      <c r="D6" s="1">
        <v>0</v>
      </c>
      <c r="E6" s="1">
        <v>-34.58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29</v>
      </c>
      <c r="B7" s="1" t="s">
        <v>92</v>
      </c>
      <c r="C7" s="1" t="s">
        <v>10</v>
      </c>
      <c r="D7" s="1">
        <v>0</v>
      </c>
      <c r="E7" s="1">
        <v>-34.58</v>
      </c>
      <c r="F7" s="1">
        <v>0</v>
      </c>
      <c r="G7" s="1">
        <v>0</v>
      </c>
      <c r="H7" s="1">
        <v>0</v>
      </c>
      <c r="I7" s="1">
        <v>-139.57</v>
      </c>
    </row>
    <row r="8" spans="1:9" hidden="1" x14ac:dyDescent="0.25">
      <c r="A8" s="1" t="s">
        <v>29</v>
      </c>
      <c r="B8" s="1" t="s">
        <v>11</v>
      </c>
      <c r="C8" s="1" t="s">
        <v>18</v>
      </c>
      <c r="D8" s="1">
        <v>0</v>
      </c>
      <c r="E8" s="1">
        <v>38.51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29</v>
      </c>
      <c r="B9" s="1" t="s">
        <v>11</v>
      </c>
      <c r="C9" s="1" t="s">
        <v>10</v>
      </c>
      <c r="D9" s="1">
        <v>0</v>
      </c>
      <c r="E9" s="1">
        <v>38.51</v>
      </c>
      <c r="F9" s="1">
        <v>0</v>
      </c>
      <c r="G9" s="1">
        <v>0</v>
      </c>
      <c r="H9" s="1">
        <v>0</v>
      </c>
      <c r="I9" s="1">
        <v>155.20699999999999</v>
      </c>
    </row>
    <row r="10" spans="1:9" hidden="1" x14ac:dyDescent="0.25">
      <c r="A10" s="1" t="s">
        <v>29</v>
      </c>
      <c r="B10" s="1" t="s">
        <v>12</v>
      </c>
      <c r="C10" s="1" t="s">
        <v>18</v>
      </c>
      <c r="D10" s="1">
        <v>34.380000000000003</v>
      </c>
      <c r="E10" s="1">
        <v>0</v>
      </c>
      <c r="F10" s="1">
        <v>0</v>
      </c>
      <c r="G10" s="1">
        <v>0</v>
      </c>
      <c r="H10" s="1">
        <v>0</v>
      </c>
      <c r="I10" s="1">
        <v>-464.125</v>
      </c>
    </row>
    <row r="11" spans="1:9" hidden="1" x14ac:dyDescent="0.25">
      <c r="A11" s="1" t="s">
        <v>29</v>
      </c>
      <c r="B11" s="1" t="s">
        <v>12</v>
      </c>
      <c r="C11" s="1" t="s">
        <v>10</v>
      </c>
      <c r="D11" s="1">
        <v>34.380000000000003</v>
      </c>
      <c r="E11" s="1">
        <v>0</v>
      </c>
      <c r="F11" s="1">
        <v>0</v>
      </c>
      <c r="G11" s="1">
        <v>0</v>
      </c>
      <c r="H11" s="1">
        <v>0</v>
      </c>
      <c r="I11" s="1">
        <v>-464.125</v>
      </c>
    </row>
    <row r="12" spans="1:9" hidden="1" x14ac:dyDescent="0.25">
      <c r="A12" s="1" t="s">
        <v>29</v>
      </c>
      <c r="B12" s="1" t="s">
        <v>13</v>
      </c>
      <c r="C12" s="1" t="s">
        <v>18</v>
      </c>
      <c r="D12" s="1">
        <v>0</v>
      </c>
      <c r="E12" s="1">
        <v>46.69</v>
      </c>
      <c r="F12" s="1">
        <v>0</v>
      </c>
      <c r="G12" s="1">
        <v>0</v>
      </c>
      <c r="H12" s="1">
        <v>0</v>
      </c>
      <c r="I12" s="1">
        <v>0</v>
      </c>
    </row>
    <row r="13" spans="1:9" hidden="1" x14ac:dyDescent="0.25">
      <c r="A13" s="1" t="s">
        <v>29</v>
      </c>
      <c r="B13" s="1" t="s">
        <v>13</v>
      </c>
      <c r="C13" s="1" t="s">
        <v>10</v>
      </c>
      <c r="D13" s="1">
        <v>0</v>
      </c>
      <c r="E13" s="1">
        <v>46.69</v>
      </c>
      <c r="F13" s="1">
        <v>0</v>
      </c>
      <c r="G13" s="1">
        <v>0</v>
      </c>
      <c r="H13" s="1">
        <v>0</v>
      </c>
      <c r="I13" s="1">
        <v>188.14099999999999</v>
      </c>
    </row>
    <row r="14" spans="1:9" hidden="1" x14ac:dyDescent="0.25">
      <c r="A14" s="1" t="s">
        <v>29</v>
      </c>
      <c r="B14" s="1" t="s">
        <v>21</v>
      </c>
      <c r="C14" s="1" t="s">
        <v>18</v>
      </c>
      <c r="D14" s="1">
        <v>0</v>
      </c>
      <c r="E14" s="1">
        <v>-46.69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29</v>
      </c>
      <c r="B15" s="1" t="s">
        <v>21</v>
      </c>
      <c r="C15" s="1" t="s">
        <v>10</v>
      </c>
      <c r="D15" s="1">
        <v>0</v>
      </c>
      <c r="E15" s="1">
        <v>-46.69</v>
      </c>
      <c r="F15" s="1">
        <v>0</v>
      </c>
      <c r="G15" s="1">
        <v>0</v>
      </c>
      <c r="H15" s="1">
        <v>0</v>
      </c>
      <c r="I15" s="1">
        <v>-188.14099999999999</v>
      </c>
    </row>
    <row r="16" spans="1:9" hidden="1" x14ac:dyDescent="0.25">
      <c r="A16" s="1" t="s">
        <v>137</v>
      </c>
      <c r="B16" s="1" t="s">
        <v>9</v>
      </c>
      <c r="C16" s="1" t="s">
        <v>18</v>
      </c>
      <c r="D16" s="1">
        <v>583.20000000000005</v>
      </c>
      <c r="E16" s="1">
        <v>0</v>
      </c>
      <c r="F16" s="1">
        <v>0</v>
      </c>
      <c r="G16" s="1">
        <v>0</v>
      </c>
      <c r="H16" s="1">
        <v>0</v>
      </c>
      <c r="I16" s="1">
        <v>-7873.2</v>
      </c>
    </row>
    <row r="17" spans="1:9" hidden="1" x14ac:dyDescent="0.25">
      <c r="A17" s="1" t="s">
        <v>137</v>
      </c>
      <c r="B17" s="1" t="s">
        <v>9</v>
      </c>
      <c r="C17" s="1" t="s">
        <v>10</v>
      </c>
      <c r="D17" s="1">
        <v>583.20000000000005</v>
      </c>
      <c r="E17" s="1">
        <v>0</v>
      </c>
      <c r="F17" s="1">
        <v>0</v>
      </c>
      <c r="G17" s="1">
        <v>0</v>
      </c>
      <c r="H17" s="1">
        <v>0</v>
      </c>
      <c r="I17" s="1">
        <v>-7873.2</v>
      </c>
    </row>
    <row r="18" spans="1:9" hidden="1" x14ac:dyDescent="0.25">
      <c r="A18" s="1" t="s">
        <v>137</v>
      </c>
      <c r="B18" s="1" t="s">
        <v>19</v>
      </c>
      <c r="C18" s="1" t="s">
        <v>18</v>
      </c>
      <c r="D18" s="1">
        <v>145.80000000000001</v>
      </c>
      <c r="E18" s="1">
        <v>0</v>
      </c>
      <c r="F18" s="1">
        <v>0</v>
      </c>
      <c r="G18" s="1">
        <v>0</v>
      </c>
      <c r="H18" s="1">
        <v>0</v>
      </c>
      <c r="I18" s="1">
        <v>-1968.3</v>
      </c>
    </row>
    <row r="19" spans="1:9" x14ac:dyDescent="0.25">
      <c r="A19" s="1" t="s">
        <v>137</v>
      </c>
      <c r="B19" s="1" t="s">
        <v>19</v>
      </c>
      <c r="C19" s="1" t="s">
        <v>10</v>
      </c>
      <c r="D19" s="1">
        <v>145.80000000000001</v>
      </c>
      <c r="E19" s="1">
        <v>0</v>
      </c>
      <c r="F19" s="1">
        <v>0</v>
      </c>
      <c r="G19" s="1">
        <v>0</v>
      </c>
      <c r="H19" s="1">
        <v>0</v>
      </c>
      <c r="I19" s="1">
        <v>-1968.3</v>
      </c>
    </row>
    <row r="20" spans="1:9" hidden="1" x14ac:dyDescent="0.25">
      <c r="A20" s="1" t="s">
        <v>137</v>
      </c>
      <c r="B20" s="1" t="s">
        <v>92</v>
      </c>
      <c r="C20" s="1" t="s">
        <v>18</v>
      </c>
      <c r="D20" s="1">
        <v>0</v>
      </c>
      <c r="E20" s="1">
        <v>-66.31</v>
      </c>
      <c r="F20" s="1">
        <v>0</v>
      </c>
      <c r="G20" s="1">
        <v>0</v>
      </c>
      <c r="H20" s="1">
        <v>0</v>
      </c>
      <c r="I20" s="1">
        <v>-139.57</v>
      </c>
    </row>
    <row r="21" spans="1:9" hidden="1" x14ac:dyDescent="0.25">
      <c r="A21" s="1" t="s">
        <v>137</v>
      </c>
      <c r="B21" s="1" t="s">
        <v>92</v>
      </c>
      <c r="C21" s="1" t="s">
        <v>10</v>
      </c>
      <c r="D21" s="1">
        <v>0</v>
      </c>
      <c r="E21" s="1">
        <v>-66.31</v>
      </c>
      <c r="F21" s="1">
        <v>0</v>
      </c>
      <c r="G21" s="1">
        <v>0</v>
      </c>
      <c r="H21" s="1">
        <v>0</v>
      </c>
      <c r="I21" s="1">
        <v>-408.779</v>
      </c>
    </row>
    <row r="22" spans="1:9" hidden="1" x14ac:dyDescent="0.25">
      <c r="A22" s="1" t="s">
        <v>137</v>
      </c>
      <c r="B22" s="1" t="s">
        <v>11</v>
      </c>
      <c r="C22" s="1" t="s">
        <v>18</v>
      </c>
      <c r="D22" s="1">
        <v>0</v>
      </c>
      <c r="E22" s="1">
        <v>65.52</v>
      </c>
      <c r="F22" s="1">
        <v>0</v>
      </c>
      <c r="G22" s="1">
        <v>0</v>
      </c>
      <c r="H22" s="1">
        <v>0</v>
      </c>
      <c r="I22" s="1">
        <v>155.20699999999999</v>
      </c>
    </row>
    <row r="23" spans="1:9" hidden="1" x14ac:dyDescent="0.25">
      <c r="A23" s="1" t="s">
        <v>137</v>
      </c>
      <c r="B23" s="1" t="s">
        <v>11</v>
      </c>
      <c r="C23" s="1" t="s">
        <v>10</v>
      </c>
      <c r="D23" s="1">
        <v>0</v>
      </c>
      <c r="E23" s="1">
        <v>65.52</v>
      </c>
      <c r="F23" s="1">
        <v>0</v>
      </c>
      <c r="G23" s="1">
        <v>0</v>
      </c>
      <c r="H23" s="1">
        <v>0</v>
      </c>
      <c r="I23" s="1">
        <v>415.81700000000001</v>
      </c>
    </row>
    <row r="24" spans="1:9" hidden="1" x14ac:dyDescent="0.25">
      <c r="A24" s="1" t="s">
        <v>137</v>
      </c>
      <c r="B24" s="1" t="s">
        <v>12</v>
      </c>
      <c r="C24" s="1" t="s">
        <v>18</v>
      </c>
      <c r="D24" s="1">
        <v>68.760000000000005</v>
      </c>
      <c r="E24" s="1">
        <v>0</v>
      </c>
      <c r="F24" s="1">
        <v>0</v>
      </c>
      <c r="G24" s="1">
        <v>0</v>
      </c>
      <c r="H24" s="1">
        <v>0</v>
      </c>
      <c r="I24" s="1">
        <v>-928.25</v>
      </c>
    </row>
    <row r="25" spans="1:9" hidden="1" x14ac:dyDescent="0.25">
      <c r="A25" s="1" t="s">
        <v>137</v>
      </c>
      <c r="B25" s="1" t="s">
        <v>12</v>
      </c>
      <c r="C25" s="1" t="s">
        <v>10</v>
      </c>
      <c r="D25" s="1">
        <v>68.760000000000005</v>
      </c>
      <c r="E25" s="1">
        <v>0</v>
      </c>
      <c r="F25" s="1">
        <v>0</v>
      </c>
      <c r="G25" s="1">
        <v>0</v>
      </c>
      <c r="H25" s="1">
        <v>0</v>
      </c>
      <c r="I25" s="1">
        <v>-928.25</v>
      </c>
    </row>
    <row r="26" spans="1:9" hidden="1" x14ac:dyDescent="0.25">
      <c r="A26" s="1" t="s">
        <v>137</v>
      </c>
      <c r="B26" s="1" t="s">
        <v>13</v>
      </c>
      <c r="C26" s="1" t="s">
        <v>18</v>
      </c>
      <c r="D26" s="1">
        <v>0</v>
      </c>
      <c r="E26" s="1">
        <v>79.42</v>
      </c>
      <c r="F26" s="1">
        <v>0</v>
      </c>
      <c r="G26" s="1">
        <v>0</v>
      </c>
      <c r="H26" s="1">
        <v>0</v>
      </c>
      <c r="I26" s="1">
        <v>188.14099999999999</v>
      </c>
    </row>
    <row r="27" spans="1:9" hidden="1" x14ac:dyDescent="0.25">
      <c r="A27" s="1" t="s">
        <v>137</v>
      </c>
      <c r="B27" s="1" t="s">
        <v>13</v>
      </c>
      <c r="C27" s="1" t="s">
        <v>10</v>
      </c>
      <c r="D27" s="1">
        <v>0</v>
      </c>
      <c r="E27" s="1">
        <v>79.42</v>
      </c>
      <c r="F27" s="1">
        <v>0</v>
      </c>
      <c r="G27" s="1">
        <v>0</v>
      </c>
      <c r="H27" s="1">
        <v>0</v>
      </c>
      <c r="I27" s="1">
        <v>504.053</v>
      </c>
    </row>
    <row r="28" spans="1:9" hidden="1" x14ac:dyDescent="0.25">
      <c r="A28" s="1" t="s">
        <v>137</v>
      </c>
      <c r="B28" s="1" t="s">
        <v>21</v>
      </c>
      <c r="C28" s="1" t="s">
        <v>18</v>
      </c>
      <c r="D28" s="1">
        <v>0</v>
      </c>
      <c r="E28" s="1">
        <v>-79.42</v>
      </c>
      <c r="F28" s="1">
        <v>0</v>
      </c>
      <c r="G28" s="1">
        <v>0</v>
      </c>
      <c r="H28" s="1">
        <v>0</v>
      </c>
      <c r="I28" s="1">
        <v>-188.14099999999999</v>
      </c>
    </row>
    <row r="29" spans="1:9" hidden="1" x14ac:dyDescent="0.25">
      <c r="A29" s="1" t="s">
        <v>137</v>
      </c>
      <c r="B29" s="1" t="s">
        <v>21</v>
      </c>
      <c r="C29" s="1" t="s">
        <v>10</v>
      </c>
      <c r="D29" s="1">
        <v>0</v>
      </c>
      <c r="E29" s="1">
        <v>-79.42</v>
      </c>
      <c r="F29" s="1">
        <v>0</v>
      </c>
      <c r="G29" s="1">
        <v>0</v>
      </c>
      <c r="H29" s="1">
        <v>0</v>
      </c>
      <c r="I29" s="1">
        <v>-504.053</v>
      </c>
    </row>
    <row r="30" spans="1:9" hidden="1" x14ac:dyDescent="0.25">
      <c r="A30" s="1" t="s">
        <v>138</v>
      </c>
      <c r="B30" s="1" t="s">
        <v>9</v>
      </c>
      <c r="C30" s="1" t="s">
        <v>18</v>
      </c>
      <c r="D30" s="1">
        <v>874.8</v>
      </c>
      <c r="E30" s="1">
        <v>0</v>
      </c>
      <c r="F30" s="1">
        <v>0</v>
      </c>
      <c r="G30" s="1">
        <v>0</v>
      </c>
      <c r="H30" s="1">
        <v>0</v>
      </c>
      <c r="I30" s="1">
        <v>-11809.8</v>
      </c>
    </row>
    <row r="31" spans="1:9" hidden="1" x14ac:dyDescent="0.25">
      <c r="A31" s="1" t="s">
        <v>138</v>
      </c>
      <c r="B31" s="1" t="s">
        <v>9</v>
      </c>
      <c r="C31" s="1" t="s">
        <v>10</v>
      </c>
      <c r="D31" s="1">
        <v>874.8</v>
      </c>
      <c r="E31" s="1">
        <v>0</v>
      </c>
      <c r="F31" s="1">
        <v>0</v>
      </c>
      <c r="G31" s="1">
        <v>0</v>
      </c>
      <c r="H31" s="1">
        <v>0</v>
      </c>
      <c r="I31" s="1">
        <v>-11809.8</v>
      </c>
    </row>
    <row r="32" spans="1:9" hidden="1" x14ac:dyDescent="0.25">
      <c r="A32" s="1" t="s">
        <v>138</v>
      </c>
      <c r="B32" s="1" t="s">
        <v>19</v>
      </c>
      <c r="C32" s="1" t="s">
        <v>18</v>
      </c>
      <c r="D32" s="1">
        <v>218.7</v>
      </c>
      <c r="E32" s="1">
        <v>0</v>
      </c>
      <c r="F32" s="1">
        <v>0</v>
      </c>
      <c r="G32" s="1">
        <v>0</v>
      </c>
      <c r="H32" s="1">
        <v>0</v>
      </c>
      <c r="I32" s="1">
        <v>-2952.45</v>
      </c>
    </row>
    <row r="33" spans="1:9" x14ac:dyDescent="0.25">
      <c r="A33" s="1" t="s">
        <v>138</v>
      </c>
      <c r="B33" s="1" t="s">
        <v>19</v>
      </c>
      <c r="C33" s="1" t="s">
        <v>10</v>
      </c>
      <c r="D33" s="1">
        <v>218.7</v>
      </c>
      <c r="E33" s="1">
        <v>0</v>
      </c>
      <c r="F33" s="1">
        <v>0</v>
      </c>
      <c r="G33" s="1">
        <v>0</v>
      </c>
      <c r="H33" s="1">
        <v>0</v>
      </c>
      <c r="I33" s="1">
        <v>-2952.45</v>
      </c>
    </row>
    <row r="34" spans="1:9" hidden="1" x14ac:dyDescent="0.25">
      <c r="A34" s="1" t="s">
        <v>138</v>
      </c>
      <c r="B34" s="1" t="s">
        <v>92</v>
      </c>
      <c r="C34" s="1" t="s">
        <v>18</v>
      </c>
      <c r="D34" s="1">
        <v>0</v>
      </c>
      <c r="E34" s="1">
        <v>-95.19</v>
      </c>
      <c r="F34" s="1">
        <v>0</v>
      </c>
      <c r="G34" s="1">
        <v>0</v>
      </c>
      <c r="H34" s="1">
        <v>0</v>
      </c>
      <c r="I34" s="1">
        <v>-408.779</v>
      </c>
    </row>
    <row r="35" spans="1:9" hidden="1" x14ac:dyDescent="0.25">
      <c r="A35" s="1" t="s">
        <v>138</v>
      </c>
      <c r="B35" s="1" t="s">
        <v>92</v>
      </c>
      <c r="C35" s="1" t="s">
        <v>10</v>
      </c>
      <c r="D35" s="1">
        <v>0</v>
      </c>
      <c r="E35" s="1">
        <v>-95.19</v>
      </c>
      <c r="F35" s="1">
        <v>0</v>
      </c>
      <c r="G35" s="1">
        <v>0</v>
      </c>
      <c r="H35" s="1">
        <v>0</v>
      </c>
      <c r="I35" s="1">
        <v>-797.76599999999996</v>
      </c>
    </row>
    <row r="36" spans="1:9" hidden="1" x14ac:dyDescent="0.25">
      <c r="A36" s="1" t="s">
        <v>138</v>
      </c>
      <c r="B36" s="1" t="s">
        <v>11</v>
      </c>
      <c r="C36" s="1" t="s">
        <v>18</v>
      </c>
      <c r="D36" s="1">
        <v>0</v>
      </c>
      <c r="E36" s="1">
        <v>86.41</v>
      </c>
      <c r="F36" s="1">
        <v>0</v>
      </c>
      <c r="G36" s="1">
        <v>0</v>
      </c>
      <c r="H36" s="1">
        <v>0</v>
      </c>
      <c r="I36" s="1">
        <v>415.81700000000001</v>
      </c>
    </row>
    <row r="37" spans="1:9" hidden="1" x14ac:dyDescent="0.25">
      <c r="A37" s="1" t="s">
        <v>138</v>
      </c>
      <c r="B37" s="1" t="s">
        <v>11</v>
      </c>
      <c r="C37" s="1" t="s">
        <v>10</v>
      </c>
      <c r="D37" s="1">
        <v>0</v>
      </c>
      <c r="E37" s="1">
        <v>86.41</v>
      </c>
      <c r="F37" s="1">
        <v>0</v>
      </c>
      <c r="G37" s="1">
        <v>0</v>
      </c>
      <c r="H37" s="1">
        <v>0</v>
      </c>
      <c r="I37" s="1">
        <v>756.31600000000003</v>
      </c>
    </row>
    <row r="38" spans="1:9" hidden="1" x14ac:dyDescent="0.25">
      <c r="A38" s="1" t="s">
        <v>138</v>
      </c>
      <c r="B38" s="1" t="s">
        <v>12</v>
      </c>
      <c r="C38" s="1" t="s">
        <v>18</v>
      </c>
      <c r="D38" s="1">
        <v>103.14</v>
      </c>
      <c r="E38" s="1">
        <v>0</v>
      </c>
      <c r="F38" s="1">
        <v>0</v>
      </c>
      <c r="G38" s="1">
        <v>0</v>
      </c>
      <c r="H38" s="1">
        <v>0</v>
      </c>
      <c r="I38" s="1">
        <v>-1392.375</v>
      </c>
    </row>
    <row r="39" spans="1:9" hidden="1" x14ac:dyDescent="0.25">
      <c r="A39" s="1" t="s">
        <v>138</v>
      </c>
      <c r="B39" s="1" t="s">
        <v>12</v>
      </c>
      <c r="C39" s="1" t="s">
        <v>10</v>
      </c>
      <c r="D39" s="1">
        <v>103.14</v>
      </c>
      <c r="E39" s="1">
        <v>0</v>
      </c>
      <c r="F39" s="1">
        <v>0</v>
      </c>
      <c r="G39" s="1">
        <v>0</v>
      </c>
      <c r="H39" s="1">
        <v>0</v>
      </c>
      <c r="I39" s="1">
        <v>-1392.375</v>
      </c>
    </row>
    <row r="40" spans="1:9" hidden="1" x14ac:dyDescent="0.25">
      <c r="A40" s="1" t="s">
        <v>138</v>
      </c>
      <c r="B40" s="1" t="s">
        <v>13</v>
      </c>
      <c r="C40" s="1" t="s">
        <v>18</v>
      </c>
      <c r="D40" s="1">
        <v>0</v>
      </c>
      <c r="E40" s="1">
        <v>104.75</v>
      </c>
      <c r="F40" s="1">
        <v>0</v>
      </c>
      <c r="G40" s="1">
        <v>0</v>
      </c>
      <c r="H40" s="1">
        <v>0</v>
      </c>
      <c r="I40" s="1">
        <v>504.053</v>
      </c>
    </row>
    <row r="41" spans="1:9" hidden="1" x14ac:dyDescent="0.25">
      <c r="A41" s="1" t="s">
        <v>138</v>
      </c>
      <c r="B41" s="1" t="s">
        <v>13</v>
      </c>
      <c r="C41" s="1" t="s">
        <v>10</v>
      </c>
      <c r="D41" s="1">
        <v>0</v>
      </c>
      <c r="E41" s="1">
        <v>104.75</v>
      </c>
      <c r="F41" s="1">
        <v>0</v>
      </c>
      <c r="G41" s="1">
        <v>0</v>
      </c>
      <c r="H41" s="1">
        <v>0</v>
      </c>
      <c r="I41" s="1">
        <v>916.80600000000004</v>
      </c>
    </row>
    <row r="42" spans="1:9" hidden="1" x14ac:dyDescent="0.25">
      <c r="A42" s="1" t="s">
        <v>138</v>
      </c>
      <c r="B42" s="1" t="s">
        <v>21</v>
      </c>
      <c r="C42" s="1" t="s">
        <v>18</v>
      </c>
      <c r="D42" s="1">
        <v>0</v>
      </c>
      <c r="E42" s="1">
        <v>-104.75</v>
      </c>
      <c r="F42" s="1">
        <v>0</v>
      </c>
      <c r="G42" s="1">
        <v>0</v>
      </c>
      <c r="H42" s="1">
        <v>0</v>
      </c>
      <c r="I42" s="1">
        <v>-504.053</v>
      </c>
    </row>
    <row r="43" spans="1:9" hidden="1" x14ac:dyDescent="0.25">
      <c r="A43" s="1" t="s">
        <v>138</v>
      </c>
      <c r="B43" s="1" t="s">
        <v>21</v>
      </c>
      <c r="C43" s="1" t="s">
        <v>10</v>
      </c>
      <c r="D43" s="1">
        <v>0</v>
      </c>
      <c r="E43" s="1">
        <v>-104.75</v>
      </c>
      <c r="F43" s="1">
        <v>0</v>
      </c>
      <c r="G43" s="1">
        <v>0</v>
      </c>
      <c r="H43" s="1">
        <v>0</v>
      </c>
      <c r="I43" s="1">
        <v>-916.80600000000004</v>
      </c>
    </row>
    <row r="44" spans="1:9" hidden="1" x14ac:dyDescent="0.25">
      <c r="A44" s="1" t="s">
        <v>139</v>
      </c>
      <c r="B44" s="1" t="s">
        <v>9</v>
      </c>
      <c r="C44" s="1" t="s">
        <v>18</v>
      </c>
      <c r="D44" s="1">
        <v>1166.4000000000001</v>
      </c>
      <c r="E44" s="1">
        <v>0</v>
      </c>
      <c r="F44" s="1">
        <v>0</v>
      </c>
      <c r="G44" s="1">
        <v>0</v>
      </c>
      <c r="H44" s="1">
        <v>0</v>
      </c>
      <c r="I44" s="1">
        <v>-15746.4</v>
      </c>
    </row>
    <row r="45" spans="1:9" hidden="1" x14ac:dyDescent="0.25">
      <c r="A45" s="1" t="s">
        <v>139</v>
      </c>
      <c r="B45" s="1" t="s">
        <v>9</v>
      </c>
      <c r="C45" s="1" t="s">
        <v>10</v>
      </c>
      <c r="D45" s="1">
        <v>1166.4000000000001</v>
      </c>
      <c r="E45" s="1">
        <v>0</v>
      </c>
      <c r="F45" s="1">
        <v>0</v>
      </c>
      <c r="G45" s="1">
        <v>0</v>
      </c>
      <c r="H45" s="1">
        <v>0</v>
      </c>
      <c r="I45" s="1">
        <v>-15746.4</v>
      </c>
    </row>
    <row r="46" spans="1:9" hidden="1" x14ac:dyDescent="0.25">
      <c r="A46" s="1" t="s">
        <v>139</v>
      </c>
      <c r="B46" s="1" t="s">
        <v>19</v>
      </c>
      <c r="C46" s="1" t="s">
        <v>18</v>
      </c>
      <c r="D46" s="1">
        <v>291.60000000000002</v>
      </c>
      <c r="E46" s="1">
        <v>0</v>
      </c>
      <c r="F46" s="1">
        <v>0</v>
      </c>
      <c r="G46" s="1">
        <v>0</v>
      </c>
      <c r="H46" s="1">
        <v>0</v>
      </c>
      <c r="I46" s="1">
        <v>-3936.6</v>
      </c>
    </row>
    <row r="47" spans="1:9" x14ac:dyDescent="0.25">
      <c r="A47" s="1" t="s">
        <v>139</v>
      </c>
      <c r="B47" s="1" t="s">
        <v>19</v>
      </c>
      <c r="C47" s="1" t="s">
        <v>10</v>
      </c>
      <c r="D47" s="1">
        <v>291.60000000000002</v>
      </c>
      <c r="E47" s="1">
        <v>0</v>
      </c>
      <c r="F47" s="1">
        <v>0</v>
      </c>
      <c r="G47" s="1">
        <v>0</v>
      </c>
      <c r="H47" s="1">
        <v>0</v>
      </c>
      <c r="I47" s="1">
        <v>-3936.6</v>
      </c>
    </row>
    <row r="48" spans="1:9" hidden="1" x14ac:dyDescent="0.25">
      <c r="A48" s="1" t="s">
        <v>139</v>
      </c>
      <c r="B48" s="1" t="s">
        <v>92</v>
      </c>
      <c r="C48" s="1" t="s">
        <v>18</v>
      </c>
      <c r="D48" s="1">
        <v>0</v>
      </c>
      <c r="E48" s="1">
        <v>-121.22</v>
      </c>
      <c r="F48" s="1">
        <v>0</v>
      </c>
      <c r="G48" s="1">
        <v>0</v>
      </c>
      <c r="H48" s="1">
        <v>0</v>
      </c>
      <c r="I48" s="1">
        <v>-797.76599999999996</v>
      </c>
    </row>
    <row r="49" spans="1:9" hidden="1" x14ac:dyDescent="0.25">
      <c r="A49" s="1" t="s">
        <v>139</v>
      </c>
      <c r="B49" s="1" t="s">
        <v>92</v>
      </c>
      <c r="C49" s="1" t="s">
        <v>10</v>
      </c>
      <c r="D49" s="1">
        <v>0</v>
      </c>
      <c r="E49" s="1">
        <v>-121.22</v>
      </c>
      <c r="F49" s="1">
        <v>0</v>
      </c>
      <c r="G49" s="1">
        <v>0</v>
      </c>
      <c r="H49" s="1">
        <v>0</v>
      </c>
      <c r="I49" s="1">
        <v>-1296.4269999999999</v>
      </c>
    </row>
    <row r="50" spans="1:9" hidden="1" x14ac:dyDescent="0.25">
      <c r="A50" s="1" t="s">
        <v>139</v>
      </c>
      <c r="B50" s="1" t="s">
        <v>11</v>
      </c>
      <c r="C50" s="1" t="s">
        <v>18</v>
      </c>
      <c r="D50" s="1">
        <v>0</v>
      </c>
      <c r="E50" s="1">
        <v>103.68</v>
      </c>
      <c r="F50" s="1">
        <v>0</v>
      </c>
      <c r="G50" s="1">
        <v>0</v>
      </c>
      <c r="H50" s="1">
        <v>0</v>
      </c>
      <c r="I50" s="1">
        <v>756.31600000000003</v>
      </c>
    </row>
    <row r="51" spans="1:9" hidden="1" x14ac:dyDescent="0.25">
      <c r="A51" s="1" t="s">
        <v>139</v>
      </c>
      <c r="B51" s="1" t="s">
        <v>11</v>
      </c>
      <c r="C51" s="1" t="s">
        <v>10</v>
      </c>
      <c r="D51" s="1">
        <v>0</v>
      </c>
      <c r="E51" s="1">
        <v>103.68</v>
      </c>
      <c r="F51" s="1">
        <v>0</v>
      </c>
      <c r="G51" s="1">
        <v>0</v>
      </c>
      <c r="H51" s="1">
        <v>0</v>
      </c>
      <c r="I51" s="1">
        <v>1161.509</v>
      </c>
    </row>
    <row r="52" spans="1:9" hidden="1" x14ac:dyDescent="0.25">
      <c r="A52" s="1" t="s">
        <v>139</v>
      </c>
      <c r="B52" s="1" t="s">
        <v>12</v>
      </c>
      <c r="C52" s="1" t="s">
        <v>18</v>
      </c>
      <c r="D52" s="1">
        <v>137.52000000000001</v>
      </c>
      <c r="E52" s="1">
        <v>0</v>
      </c>
      <c r="F52" s="1">
        <v>0</v>
      </c>
      <c r="G52" s="1">
        <v>0</v>
      </c>
      <c r="H52" s="1">
        <v>0</v>
      </c>
      <c r="I52" s="1">
        <v>-1856.501</v>
      </c>
    </row>
    <row r="53" spans="1:9" hidden="1" x14ac:dyDescent="0.25">
      <c r="A53" s="1" t="s">
        <v>139</v>
      </c>
      <c r="B53" s="1" t="s">
        <v>12</v>
      </c>
      <c r="C53" s="1" t="s">
        <v>10</v>
      </c>
      <c r="D53" s="1">
        <v>137.52000000000001</v>
      </c>
      <c r="E53" s="1">
        <v>0</v>
      </c>
      <c r="F53" s="1">
        <v>0</v>
      </c>
      <c r="G53" s="1">
        <v>0</v>
      </c>
      <c r="H53" s="1">
        <v>0</v>
      </c>
      <c r="I53" s="1">
        <v>-1856.501</v>
      </c>
    </row>
    <row r="54" spans="1:9" hidden="1" x14ac:dyDescent="0.25">
      <c r="A54" s="1" t="s">
        <v>139</v>
      </c>
      <c r="B54" s="1" t="s">
        <v>13</v>
      </c>
      <c r="C54" s="1" t="s">
        <v>18</v>
      </c>
      <c r="D54" s="1">
        <v>0</v>
      </c>
      <c r="E54" s="1">
        <v>125.68</v>
      </c>
      <c r="F54" s="1">
        <v>0</v>
      </c>
      <c r="G54" s="1">
        <v>0</v>
      </c>
      <c r="H54" s="1">
        <v>0</v>
      </c>
      <c r="I54" s="1">
        <v>916.80600000000004</v>
      </c>
    </row>
    <row r="55" spans="1:9" hidden="1" x14ac:dyDescent="0.25">
      <c r="A55" s="1" t="s">
        <v>139</v>
      </c>
      <c r="B55" s="1" t="s">
        <v>13</v>
      </c>
      <c r="C55" s="1" t="s">
        <v>10</v>
      </c>
      <c r="D55" s="1">
        <v>0</v>
      </c>
      <c r="E55" s="1">
        <v>125.68</v>
      </c>
      <c r="F55" s="1">
        <v>0</v>
      </c>
      <c r="G55" s="1">
        <v>0</v>
      </c>
      <c r="H55" s="1">
        <v>0</v>
      </c>
      <c r="I55" s="1">
        <v>1407.981</v>
      </c>
    </row>
    <row r="56" spans="1:9" hidden="1" x14ac:dyDescent="0.25">
      <c r="A56" s="1" t="s">
        <v>139</v>
      </c>
      <c r="B56" s="1" t="s">
        <v>21</v>
      </c>
      <c r="C56" s="1" t="s">
        <v>18</v>
      </c>
      <c r="D56" s="1">
        <v>0</v>
      </c>
      <c r="E56" s="1">
        <v>-125.68</v>
      </c>
      <c r="F56" s="1">
        <v>0</v>
      </c>
      <c r="G56" s="1">
        <v>0</v>
      </c>
      <c r="H56" s="1">
        <v>0</v>
      </c>
      <c r="I56" s="1">
        <v>-916.80600000000004</v>
      </c>
    </row>
    <row r="57" spans="1:9" hidden="1" x14ac:dyDescent="0.25">
      <c r="A57" s="1" t="s">
        <v>139</v>
      </c>
      <c r="B57" s="1" t="s">
        <v>21</v>
      </c>
      <c r="C57" s="1" t="s">
        <v>10</v>
      </c>
      <c r="D57" s="1">
        <v>0</v>
      </c>
      <c r="E57" s="1">
        <v>-125.68</v>
      </c>
      <c r="F57" s="1">
        <v>0</v>
      </c>
      <c r="G57" s="1">
        <v>0</v>
      </c>
      <c r="H57" s="1">
        <v>0</v>
      </c>
      <c r="I57" s="1">
        <v>-1407.981</v>
      </c>
    </row>
    <row r="58" spans="1:9" hidden="1" x14ac:dyDescent="0.25">
      <c r="A58" s="1" t="s">
        <v>140</v>
      </c>
      <c r="B58" s="1" t="s">
        <v>9</v>
      </c>
      <c r="C58" s="1" t="s">
        <v>18</v>
      </c>
      <c r="D58" s="1">
        <v>1458</v>
      </c>
      <c r="E58" s="1">
        <v>0</v>
      </c>
      <c r="F58" s="1">
        <v>0</v>
      </c>
      <c r="G58" s="1">
        <v>0</v>
      </c>
      <c r="H58" s="1">
        <v>0</v>
      </c>
      <c r="I58" s="1">
        <v>-19683</v>
      </c>
    </row>
    <row r="59" spans="1:9" hidden="1" x14ac:dyDescent="0.25">
      <c r="A59" s="1" t="s">
        <v>140</v>
      </c>
      <c r="B59" s="1" t="s">
        <v>9</v>
      </c>
      <c r="C59" s="1" t="s">
        <v>10</v>
      </c>
      <c r="D59" s="1">
        <v>1458</v>
      </c>
      <c r="E59" s="1">
        <v>0</v>
      </c>
      <c r="F59" s="1">
        <v>0</v>
      </c>
      <c r="G59" s="1">
        <v>0</v>
      </c>
      <c r="H59" s="1">
        <v>0</v>
      </c>
      <c r="I59" s="1">
        <v>-19683</v>
      </c>
    </row>
    <row r="60" spans="1:9" hidden="1" x14ac:dyDescent="0.25">
      <c r="A60" s="1" t="s">
        <v>140</v>
      </c>
      <c r="B60" s="1" t="s">
        <v>19</v>
      </c>
      <c r="C60" s="1" t="s">
        <v>18</v>
      </c>
      <c r="D60" s="1">
        <v>364.5</v>
      </c>
      <c r="E60" s="1">
        <v>0</v>
      </c>
      <c r="F60" s="1">
        <v>0</v>
      </c>
      <c r="G60" s="1">
        <v>0</v>
      </c>
      <c r="H60" s="1">
        <v>0</v>
      </c>
      <c r="I60" s="1">
        <v>-4920.75</v>
      </c>
    </row>
    <row r="61" spans="1:9" x14ac:dyDescent="0.25">
      <c r="A61" s="1" t="s">
        <v>140</v>
      </c>
      <c r="B61" s="1" t="s">
        <v>19</v>
      </c>
      <c r="C61" s="1" t="s">
        <v>10</v>
      </c>
      <c r="D61" s="1">
        <v>364.5</v>
      </c>
      <c r="E61" s="1">
        <v>0</v>
      </c>
      <c r="F61" s="1">
        <v>0</v>
      </c>
      <c r="G61" s="1">
        <v>0</v>
      </c>
      <c r="H61" s="1">
        <v>0</v>
      </c>
      <c r="I61" s="1">
        <v>-4920.75</v>
      </c>
    </row>
    <row r="62" spans="1:9" hidden="1" x14ac:dyDescent="0.25">
      <c r="A62" s="1" t="s">
        <v>140</v>
      </c>
      <c r="B62" s="1" t="s">
        <v>92</v>
      </c>
      <c r="C62" s="1" t="s">
        <v>18</v>
      </c>
      <c r="D62" s="1">
        <v>0</v>
      </c>
      <c r="E62" s="1">
        <v>-144.38999999999999</v>
      </c>
      <c r="F62" s="1">
        <v>0</v>
      </c>
      <c r="G62" s="1">
        <v>0</v>
      </c>
      <c r="H62" s="1">
        <v>0</v>
      </c>
      <c r="I62" s="1">
        <v>-1296.4269999999999</v>
      </c>
    </row>
    <row r="63" spans="1:9" hidden="1" x14ac:dyDescent="0.25">
      <c r="A63" s="1" t="s">
        <v>140</v>
      </c>
      <c r="B63" s="1" t="s">
        <v>92</v>
      </c>
      <c r="C63" s="1" t="s">
        <v>10</v>
      </c>
      <c r="D63" s="1">
        <v>0</v>
      </c>
      <c r="E63" s="1">
        <v>-144.38999999999999</v>
      </c>
      <c r="F63" s="1">
        <v>0</v>
      </c>
      <c r="G63" s="1">
        <v>0</v>
      </c>
      <c r="H63" s="1">
        <v>0</v>
      </c>
      <c r="I63" s="1">
        <v>-1894.3820000000001</v>
      </c>
    </row>
    <row r="64" spans="1:9" hidden="1" x14ac:dyDescent="0.25">
      <c r="A64" s="1" t="s">
        <v>140</v>
      </c>
      <c r="B64" s="1" t="s">
        <v>11</v>
      </c>
      <c r="C64" s="1" t="s">
        <v>18</v>
      </c>
      <c r="D64" s="1">
        <v>0</v>
      </c>
      <c r="E64" s="1">
        <v>118.75</v>
      </c>
      <c r="F64" s="1">
        <v>0</v>
      </c>
      <c r="G64" s="1">
        <v>0</v>
      </c>
      <c r="H64" s="1">
        <v>0</v>
      </c>
      <c r="I64" s="1">
        <v>1161.509</v>
      </c>
    </row>
    <row r="65" spans="1:9" hidden="1" x14ac:dyDescent="0.25">
      <c r="A65" s="1" t="s">
        <v>140</v>
      </c>
      <c r="B65" s="1" t="s">
        <v>11</v>
      </c>
      <c r="C65" s="1" t="s">
        <v>10</v>
      </c>
      <c r="D65" s="1">
        <v>0</v>
      </c>
      <c r="E65" s="1">
        <v>118.75</v>
      </c>
      <c r="F65" s="1">
        <v>0</v>
      </c>
      <c r="G65" s="1">
        <v>0</v>
      </c>
      <c r="H65" s="1">
        <v>0</v>
      </c>
      <c r="I65" s="1">
        <v>1622.644</v>
      </c>
    </row>
    <row r="66" spans="1:9" hidden="1" x14ac:dyDescent="0.25">
      <c r="A66" s="1" t="s">
        <v>140</v>
      </c>
      <c r="B66" s="1" t="s">
        <v>12</v>
      </c>
      <c r="C66" s="1" t="s">
        <v>18</v>
      </c>
      <c r="D66" s="1">
        <v>171.9</v>
      </c>
      <c r="E66" s="1">
        <v>0</v>
      </c>
      <c r="F66" s="1">
        <v>0</v>
      </c>
      <c r="G66" s="1">
        <v>0</v>
      </c>
      <c r="H66" s="1">
        <v>0</v>
      </c>
      <c r="I66" s="1">
        <v>-2320.6260000000002</v>
      </c>
    </row>
    <row r="67" spans="1:9" hidden="1" x14ac:dyDescent="0.25">
      <c r="A67" s="1" t="s">
        <v>140</v>
      </c>
      <c r="B67" s="1" t="s">
        <v>12</v>
      </c>
      <c r="C67" s="1" t="s">
        <v>10</v>
      </c>
      <c r="D67" s="1">
        <v>171.9</v>
      </c>
      <c r="E67" s="1">
        <v>0</v>
      </c>
      <c r="F67" s="1">
        <v>0</v>
      </c>
      <c r="G67" s="1">
        <v>0</v>
      </c>
      <c r="H67" s="1">
        <v>0</v>
      </c>
      <c r="I67" s="1">
        <v>-2320.6260000000002</v>
      </c>
    </row>
    <row r="68" spans="1:9" hidden="1" x14ac:dyDescent="0.25">
      <c r="A68" s="1" t="s">
        <v>140</v>
      </c>
      <c r="B68" s="1" t="s">
        <v>13</v>
      </c>
      <c r="C68" s="1" t="s">
        <v>18</v>
      </c>
      <c r="D68" s="1">
        <v>0</v>
      </c>
      <c r="E68" s="1">
        <v>143.94999999999999</v>
      </c>
      <c r="F68" s="1">
        <v>0</v>
      </c>
      <c r="G68" s="1">
        <v>0</v>
      </c>
      <c r="H68" s="1">
        <v>0</v>
      </c>
      <c r="I68" s="1">
        <v>1407.981</v>
      </c>
    </row>
    <row r="69" spans="1:9" hidden="1" x14ac:dyDescent="0.25">
      <c r="A69" s="1" t="s">
        <v>140</v>
      </c>
      <c r="B69" s="1" t="s">
        <v>13</v>
      </c>
      <c r="C69" s="1" t="s">
        <v>10</v>
      </c>
      <c r="D69" s="1">
        <v>0</v>
      </c>
      <c r="E69" s="1">
        <v>143.94999999999999</v>
      </c>
      <c r="F69" s="1">
        <v>0</v>
      </c>
      <c r="G69" s="1">
        <v>0</v>
      </c>
      <c r="H69" s="1">
        <v>0</v>
      </c>
      <c r="I69" s="1">
        <v>1966.9690000000001</v>
      </c>
    </row>
    <row r="70" spans="1:9" hidden="1" x14ac:dyDescent="0.25">
      <c r="A70" s="1" t="s">
        <v>140</v>
      </c>
      <c r="B70" s="1" t="s">
        <v>21</v>
      </c>
      <c r="C70" s="1" t="s">
        <v>18</v>
      </c>
      <c r="D70" s="1">
        <v>0</v>
      </c>
      <c r="E70" s="1">
        <v>-143.94999999999999</v>
      </c>
      <c r="F70" s="1">
        <v>0</v>
      </c>
      <c r="G70" s="1">
        <v>0</v>
      </c>
      <c r="H70" s="1">
        <v>0</v>
      </c>
      <c r="I70" s="1">
        <v>-1407.981</v>
      </c>
    </row>
    <row r="71" spans="1:9" hidden="1" x14ac:dyDescent="0.25">
      <c r="A71" s="1" t="s">
        <v>140</v>
      </c>
      <c r="B71" s="1" t="s">
        <v>21</v>
      </c>
      <c r="C71" s="1" t="s">
        <v>10</v>
      </c>
      <c r="D71" s="1">
        <v>0</v>
      </c>
      <c r="E71" s="1">
        <v>-143.94999999999999</v>
      </c>
      <c r="F71" s="1">
        <v>0</v>
      </c>
      <c r="G71" s="1">
        <v>0</v>
      </c>
      <c r="H71" s="1">
        <v>0</v>
      </c>
      <c r="I71" s="1">
        <v>-1966.9690000000001</v>
      </c>
    </row>
    <row r="72" spans="1:9" hidden="1" x14ac:dyDescent="0.25">
      <c r="A72" s="1" t="s">
        <v>141</v>
      </c>
      <c r="B72" s="1" t="s">
        <v>9</v>
      </c>
      <c r="C72" s="1" t="s">
        <v>18</v>
      </c>
      <c r="D72" s="1">
        <v>1749.6</v>
      </c>
      <c r="E72" s="1">
        <v>0</v>
      </c>
      <c r="F72" s="1">
        <v>0</v>
      </c>
      <c r="G72" s="1">
        <v>0</v>
      </c>
      <c r="H72" s="1">
        <v>0</v>
      </c>
      <c r="I72" s="1">
        <v>-23619.599999999999</v>
      </c>
    </row>
    <row r="73" spans="1:9" hidden="1" x14ac:dyDescent="0.25">
      <c r="A73" s="1" t="s">
        <v>141</v>
      </c>
      <c r="B73" s="1" t="s">
        <v>9</v>
      </c>
      <c r="C73" s="1" t="s">
        <v>10</v>
      </c>
      <c r="D73" s="1">
        <v>1749.6</v>
      </c>
      <c r="E73" s="1">
        <v>0</v>
      </c>
      <c r="F73" s="1">
        <v>0</v>
      </c>
      <c r="G73" s="1">
        <v>0</v>
      </c>
      <c r="H73" s="1">
        <v>0</v>
      </c>
      <c r="I73" s="1">
        <v>-23619.599999999999</v>
      </c>
    </row>
    <row r="74" spans="1:9" hidden="1" x14ac:dyDescent="0.25">
      <c r="A74" s="1" t="s">
        <v>141</v>
      </c>
      <c r="B74" s="1" t="s">
        <v>19</v>
      </c>
      <c r="C74" s="1" t="s">
        <v>18</v>
      </c>
      <c r="D74" s="1">
        <v>437.4</v>
      </c>
      <c r="E74" s="1">
        <v>0</v>
      </c>
      <c r="F74" s="1">
        <v>0</v>
      </c>
      <c r="G74" s="1">
        <v>0</v>
      </c>
      <c r="H74" s="1">
        <v>0</v>
      </c>
      <c r="I74" s="1">
        <v>-5904.9</v>
      </c>
    </row>
    <row r="75" spans="1:9" x14ac:dyDescent="0.25">
      <c r="A75" s="1" t="s">
        <v>141</v>
      </c>
      <c r="B75" s="1" t="s">
        <v>19</v>
      </c>
      <c r="C75" s="1" t="s">
        <v>10</v>
      </c>
      <c r="D75" s="1">
        <v>437.4</v>
      </c>
      <c r="E75" s="1">
        <v>0</v>
      </c>
      <c r="F75" s="1">
        <v>0</v>
      </c>
      <c r="G75" s="1">
        <v>0</v>
      </c>
      <c r="H75" s="1">
        <v>0</v>
      </c>
      <c r="I75" s="1">
        <v>-5904.9</v>
      </c>
    </row>
    <row r="76" spans="1:9" hidden="1" x14ac:dyDescent="0.25">
      <c r="A76" s="1" t="s">
        <v>141</v>
      </c>
      <c r="B76" s="1" t="s">
        <v>92</v>
      </c>
      <c r="C76" s="1" t="s">
        <v>18</v>
      </c>
      <c r="D76" s="1">
        <v>0</v>
      </c>
      <c r="E76" s="1">
        <v>-164.71</v>
      </c>
      <c r="F76" s="1">
        <v>0</v>
      </c>
      <c r="G76" s="1">
        <v>0</v>
      </c>
      <c r="H76" s="1">
        <v>0</v>
      </c>
      <c r="I76" s="1">
        <v>-1894.3820000000001</v>
      </c>
    </row>
    <row r="77" spans="1:9" hidden="1" x14ac:dyDescent="0.25">
      <c r="A77" s="1" t="s">
        <v>141</v>
      </c>
      <c r="B77" s="1" t="s">
        <v>92</v>
      </c>
      <c r="C77" s="1" t="s">
        <v>10</v>
      </c>
      <c r="D77" s="1">
        <v>0</v>
      </c>
      <c r="E77" s="1">
        <v>-164.71</v>
      </c>
      <c r="F77" s="1">
        <v>0</v>
      </c>
      <c r="G77" s="1">
        <v>0</v>
      </c>
      <c r="H77" s="1">
        <v>0</v>
      </c>
      <c r="I77" s="1">
        <v>-2580.721</v>
      </c>
    </row>
    <row r="78" spans="1:9" hidden="1" x14ac:dyDescent="0.25">
      <c r="A78" s="1" t="s">
        <v>141</v>
      </c>
      <c r="B78" s="1" t="s">
        <v>11</v>
      </c>
      <c r="C78" s="1" t="s">
        <v>18</v>
      </c>
      <c r="D78" s="1">
        <v>0</v>
      </c>
      <c r="E78" s="1">
        <v>132.13</v>
      </c>
      <c r="F78" s="1">
        <v>0</v>
      </c>
      <c r="G78" s="1">
        <v>0</v>
      </c>
      <c r="H78" s="1">
        <v>0</v>
      </c>
      <c r="I78" s="1">
        <v>1622.644</v>
      </c>
    </row>
    <row r="79" spans="1:9" hidden="1" x14ac:dyDescent="0.25">
      <c r="A79" s="1" t="s">
        <v>141</v>
      </c>
      <c r="B79" s="1" t="s">
        <v>11</v>
      </c>
      <c r="C79" s="1" t="s">
        <v>10</v>
      </c>
      <c r="D79" s="1">
        <v>0</v>
      </c>
      <c r="E79" s="1">
        <v>132.13</v>
      </c>
      <c r="F79" s="1">
        <v>0</v>
      </c>
      <c r="G79" s="1">
        <v>0</v>
      </c>
      <c r="H79" s="1">
        <v>0</v>
      </c>
      <c r="I79" s="1">
        <v>2133.9290000000001</v>
      </c>
    </row>
    <row r="80" spans="1:9" hidden="1" x14ac:dyDescent="0.25">
      <c r="A80" s="1" t="s">
        <v>141</v>
      </c>
      <c r="B80" s="1" t="s">
        <v>12</v>
      </c>
      <c r="C80" s="1" t="s">
        <v>18</v>
      </c>
      <c r="D80" s="1">
        <v>206.28</v>
      </c>
      <c r="E80" s="1">
        <v>0</v>
      </c>
      <c r="F80" s="1">
        <v>0</v>
      </c>
      <c r="G80" s="1">
        <v>0</v>
      </c>
      <c r="H80" s="1">
        <v>0</v>
      </c>
      <c r="I80" s="1">
        <v>-2784.7510000000002</v>
      </c>
    </row>
    <row r="81" spans="1:9" hidden="1" x14ac:dyDescent="0.25">
      <c r="A81" s="1" t="s">
        <v>141</v>
      </c>
      <c r="B81" s="1" t="s">
        <v>12</v>
      </c>
      <c r="C81" s="1" t="s">
        <v>10</v>
      </c>
      <c r="D81" s="1">
        <v>206.28</v>
      </c>
      <c r="E81" s="1">
        <v>0</v>
      </c>
      <c r="F81" s="1">
        <v>0</v>
      </c>
      <c r="G81" s="1">
        <v>0</v>
      </c>
      <c r="H81" s="1">
        <v>0</v>
      </c>
      <c r="I81" s="1">
        <v>-2784.7510000000002</v>
      </c>
    </row>
    <row r="82" spans="1:9" hidden="1" x14ac:dyDescent="0.25">
      <c r="A82" s="1" t="s">
        <v>141</v>
      </c>
      <c r="B82" s="1" t="s">
        <v>13</v>
      </c>
      <c r="C82" s="1" t="s">
        <v>18</v>
      </c>
      <c r="D82" s="1">
        <v>0</v>
      </c>
      <c r="E82" s="1">
        <v>160.16999999999999</v>
      </c>
      <c r="F82" s="1">
        <v>0</v>
      </c>
      <c r="G82" s="1">
        <v>0</v>
      </c>
      <c r="H82" s="1">
        <v>0</v>
      </c>
      <c r="I82" s="1">
        <v>1966.9690000000001</v>
      </c>
    </row>
    <row r="83" spans="1:9" hidden="1" x14ac:dyDescent="0.25">
      <c r="A83" s="1" t="s">
        <v>141</v>
      </c>
      <c r="B83" s="1" t="s">
        <v>13</v>
      </c>
      <c r="C83" s="1" t="s">
        <v>10</v>
      </c>
      <c r="D83" s="1">
        <v>0</v>
      </c>
      <c r="E83" s="1">
        <v>160.16999999999999</v>
      </c>
      <c r="F83" s="1">
        <v>0</v>
      </c>
      <c r="G83" s="1">
        <v>0</v>
      </c>
      <c r="H83" s="1">
        <v>0</v>
      </c>
      <c r="I83" s="1">
        <v>2586.7489999999998</v>
      </c>
    </row>
    <row r="84" spans="1:9" hidden="1" x14ac:dyDescent="0.25">
      <c r="A84" s="1" t="s">
        <v>141</v>
      </c>
      <c r="B84" s="1" t="s">
        <v>21</v>
      </c>
      <c r="C84" s="1" t="s">
        <v>18</v>
      </c>
      <c r="D84" s="1">
        <v>0</v>
      </c>
      <c r="E84" s="1">
        <v>-160.16999999999999</v>
      </c>
      <c r="F84" s="1">
        <v>0</v>
      </c>
      <c r="G84" s="1">
        <v>0</v>
      </c>
      <c r="H84" s="1">
        <v>0</v>
      </c>
      <c r="I84" s="1">
        <v>-1966.9690000000001</v>
      </c>
    </row>
    <row r="85" spans="1:9" hidden="1" x14ac:dyDescent="0.25">
      <c r="A85" s="1" t="s">
        <v>141</v>
      </c>
      <c r="B85" s="1" t="s">
        <v>21</v>
      </c>
      <c r="C85" s="1" t="s">
        <v>10</v>
      </c>
      <c r="D85" s="1">
        <v>0</v>
      </c>
      <c r="E85" s="1">
        <v>-160.16999999999999</v>
      </c>
      <c r="F85" s="1">
        <v>0</v>
      </c>
      <c r="G85" s="1">
        <v>0</v>
      </c>
      <c r="H85" s="1">
        <v>0</v>
      </c>
      <c r="I85" s="1">
        <v>-2586.7489999999998</v>
      </c>
    </row>
    <row r="86" spans="1:9" hidden="1" x14ac:dyDescent="0.25">
      <c r="A86" s="1" t="s">
        <v>142</v>
      </c>
      <c r="B86" s="1" t="s">
        <v>9</v>
      </c>
      <c r="C86" s="1" t="s">
        <v>18</v>
      </c>
      <c r="D86" s="1">
        <v>2041.2</v>
      </c>
      <c r="E86" s="1">
        <v>0</v>
      </c>
      <c r="F86" s="1">
        <v>0</v>
      </c>
      <c r="G86" s="1">
        <v>0</v>
      </c>
      <c r="H86" s="1">
        <v>0</v>
      </c>
      <c r="I86" s="1">
        <v>-27556.2</v>
      </c>
    </row>
    <row r="87" spans="1:9" hidden="1" x14ac:dyDescent="0.25">
      <c r="A87" s="1" t="s">
        <v>142</v>
      </c>
      <c r="B87" s="1" t="s">
        <v>9</v>
      </c>
      <c r="C87" s="1" t="s">
        <v>10</v>
      </c>
      <c r="D87" s="1">
        <v>2041.2</v>
      </c>
      <c r="E87" s="1">
        <v>0</v>
      </c>
      <c r="F87" s="1">
        <v>0</v>
      </c>
      <c r="G87" s="1">
        <v>0</v>
      </c>
      <c r="H87" s="1">
        <v>0</v>
      </c>
      <c r="I87" s="1">
        <v>-27556.2</v>
      </c>
    </row>
    <row r="88" spans="1:9" hidden="1" x14ac:dyDescent="0.25">
      <c r="A88" s="1" t="s">
        <v>142</v>
      </c>
      <c r="B88" s="1" t="s">
        <v>19</v>
      </c>
      <c r="C88" s="1" t="s">
        <v>18</v>
      </c>
      <c r="D88" s="1">
        <v>510.3</v>
      </c>
      <c r="E88" s="1">
        <v>0</v>
      </c>
      <c r="F88" s="1">
        <v>0</v>
      </c>
      <c r="G88" s="1">
        <v>0</v>
      </c>
      <c r="H88" s="1">
        <v>0</v>
      </c>
      <c r="I88" s="1">
        <v>-6889.05</v>
      </c>
    </row>
    <row r="89" spans="1:9" x14ac:dyDescent="0.25">
      <c r="A89" s="1" t="s">
        <v>142</v>
      </c>
      <c r="B89" s="1" t="s">
        <v>19</v>
      </c>
      <c r="C89" s="1" t="s">
        <v>10</v>
      </c>
      <c r="D89" s="1">
        <v>510.3</v>
      </c>
      <c r="E89" s="1">
        <v>0</v>
      </c>
      <c r="F89" s="1">
        <v>0</v>
      </c>
      <c r="G89" s="1">
        <v>0</v>
      </c>
      <c r="H89" s="1">
        <v>0</v>
      </c>
      <c r="I89" s="1">
        <v>-6889.05</v>
      </c>
    </row>
    <row r="90" spans="1:9" hidden="1" x14ac:dyDescent="0.25">
      <c r="A90" s="1" t="s">
        <v>142</v>
      </c>
      <c r="B90" s="1" t="s">
        <v>92</v>
      </c>
      <c r="C90" s="1" t="s">
        <v>18</v>
      </c>
      <c r="D90" s="1">
        <v>0</v>
      </c>
      <c r="E90" s="1">
        <v>-182.18</v>
      </c>
      <c r="F90" s="1">
        <v>0</v>
      </c>
      <c r="G90" s="1">
        <v>0</v>
      </c>
      <c r="H90" s="1">
        <v>0</v>
      </c>
      <c r="I90" s="1">
        <v>-2580.721</v>
      </c>
    </row>
    <row r="91" spans="1:9" hidden="1" x14ac:dyDescent="0.25">
      <c r="A91" s="1" t="s">
        <v>142</v>
      </c>
      <c r="B91" s="1" t="s">
        <v>92</v>
      </c>
      <c r="C91" s="1" t="s">
        <v>10</v>
      </c>
      <c r="D91" s="1">
        <v>0</v>
      </c>
      <c r="E91" s="1">
        <v>-182.18</v>
      </c>
      <c r="F91" s="1">
        <v>0</v>
      </c>
      <c r="G91" s="1">
        <v>0</v>
      </c>
      <c r="H91" s="1">
        <v>0</v>
      </c>
      <c r="I91" s="1">
        <v>-3340.6590000000001</v>
      </c>
    </row>
    <row r="92" spans="1:9" hidden="1" x14ac:dyDescent="0.25">
      <c r="A92" s="1" t="s">
        <v>142</v>
      </c>
      <c r="B92" s="1" t="s">
        <v>11</v>
      </c>
      <c r="C92" s="1" t="s">
        <v>18</v>
      </c>
      <c r="D92" s="1">
        <v>0</v>
      </c>
      <c r="E92" s="1">
        <v>144.04</v>
      </c>
      <c r="F92" s="1">
        <v>0</v>
      </c>
      <c r="G92" s="1">
        <v>0</v>
      </c>
      <c r="H92" s="1">
        <v>0</v>
      </c>
      <c r="I92" s="1">
        <v>2133.9290000000001</v>
      </c>
    </row>
    <row r="93" spans="1:9" hidden="1" x14ac:dyDescent="0.25">
      <c r="A93" s="1" t="s">
        <v>142</v>
      </c>
      <c r="B93" s="1" t="s">
        <v>11</v>
      </c>
      <c r="C93" s="1" t="s">
        <v>10</v>
      </c>
      <c r="D93" s="1">
        <v>0</v>
      </c>
      <c r="E93" s="1">
        <v>144.04</v>
      </c>
      <c r="F93" s="1">
        <v>0</v>
      </c>
      <c r="G93" s="1">
        <v>0</v>
      </c>
      <c r="H93" s="1">
        <v>0</v>
      </c>
      <c r="I93" s="1">
        <v>2688.4119999999998</v>
      </c>
    </row>
    <row r="94" spans="1:9" hidden="1" x14ac:dyDescent="0.25">
      <c r="A94" s="1" t="s">
        <v>142</v>
      </c>
      <c r="B94" s="1" t="s">
        <v>12</v>
      </c>
      <c r="C94" s="1" t="s">
        <v>18</v>
      </c>
      <c r="D94" s="1">
        <v>240.66</v>
      </c>
      <c r="E94" s="1">
        <v>0</v>
      </c>
      <c r="F94" s="1">
        <v>0</v>
      </c>
      <c r="G94" s="1">
        <v>0</v>
      </c>
      <c r="H94" s="1">
        <v>0</v>
      </c>
      <c r="I94" s="1">
        <v>-3248.8760000000002</v>
      </c>
    </row>
    <row r="95" spans="1:9" hidden="1" x14ac:dyDescent="0.25">
      <c r="A95" s="1" t="s">
        <v>142</v>
      </c>
      <c r="B95" s="1" t="s">
        <v>12</v>
      </c>
      <c r="C95" s="1" t="s">
        <v>10</v>
      </c>
      <c r="D95" s="1">
        <v>240.66</v>
      </c>
      <c r="E95" s="1">
        <v>0</v>
      </c>
      <c r="F95" s="1">
        <v>0</v>
      </c>
      <c r="G95" s="1">
        <v>0</v>
      </c>
      <c r="H95" s="1">
        <v>0</v>
      </c>
      <c r="I95" s="1">
        <v>-3248.8760000000002</v>
      </c>
    </row>
    <row r="96" spans="1:9" hidden="1" x14ac:dyDescent="0.25">
      <c r="A96" s="1" t="s">
        <v>142</v>
      </c>
      <c r="B96" s="1" t="s">
        <v>13</v>
      </c>
      <c r="C96" s="1" t="s">
        <v>18</v>
      </c>
      <c r="D96" s="1">
        <v>0</v>
      </c>
      <c r="E96" s="1">
        <v>174.61</v>
      </c>
      <c r="F96" s="1">
        <v>0</v>
      </c>
      <c r="G96" s="1">
        <v>0</v>
      </c>
      <c r="H96" s="1">
        <v>0</v>
      </c>
      <c r="I96" s="1">
        <v>2586.7489999999998</v>
      </c>
    </row>
    <row r="97" spans="1:9" hidden="1" x14ac:dyDescent="0.25">
      <c r="A97" s="1" t="s">
        <v>142</v>
      </c>
      <c r="B97" s="1" t="s">
        <v>13</v>
      </c>
      <c r="C97" s="1" t="s">
        <v>10</v>
      </c>
      <c r="D97" s="1">
        <v>0</v>
      </c>
      <c r="E97" s="1">
        <v>174.61</v>
      </c>
      <c r="F97" s="1">
        <v>0</v>
      </c>
      <c r="G97" s="1">
        <v>0</v>
      </c>
      <c r="H97" s="1">
        <v>0</v>
      </c>
      <c r="I97" s="1">
        <v>3258.893</v>
      </c>
    </row>
    <row r="98" spans="1:9" hidden="1" x14ac:dyDescent="0.25">
      <c r="A98" s="1" t="s">
        <v>142</v>
      </c>
      <c r="B98" s="1" t="s">
        <v>21</v>
      </c>
      <c r="C98" s="1" t="s">
        <v>18</v>
      </c>
      <c r="D98" s="1">
        <v>0</v>
      </c>
      <c r="E98" s="1">
        <v>-174.61</v>
      </c>
      <c r="F98" s="1">
        <v>0</v>
      </c>
      <c r="G98" s="1">
        <v>0</v>
      </c>
      <c r="H98" s="1">
        <v>0</v>
      </c>
      <c r="I98" s="1">
        <v>-2586.7489999999998</v>
      </c>
    </row>
    <row r="99" spans="1:9" hidden="1" x14ac:dyDescent="0.25">
      <c r="A99" s="1" t="s">
        <v>142</v>
      </c>
      <c r="B99" s="1" t="s">
        <v>21</v>
      </c>
      <c r="C99" s="1" t="s">
        <v>10</v>
      </c>
      <c r="D99" s="1">
        <v>0</v>
      </c>
      <c r="E99" s="1">
        <v>-174.61</v>
      </c>
      <c r="F99" s="1">
        <v>0</v>
      </c>
      <c r="G99" s="1">
        <v>0</v>
      </c>
      <c r="H99" s="1">
        <v>0</v>
      </c>
      <c r="I99" s="1">
        <v>-3258.893</v>
      </c>
    </row>
    <row r="100" spans="1:9" hidden="1" x14ac:dyDescent="0.25">
      <c r="A100" s="1" t="s">
        <v>143</v>
      </c>
      <c r="B100" s="1" t="s">
        <v>9</v>
      </c>
      <c r="C100" s="1" t="s">
        <v>18</v>
      </c>
      <c r="D100" s="1">
        <v>2332.8000000000002</v>
      </c>
      <c r="E100" s="1">
        <v>0</v>
      </c>
      <c r="F100" s="1">
        <v>0</v>
      </c>
      <c r="G100" s="1">
        <v>0</v>
      </c>
      <c r="H100" s="1">
        <v>0</v>
      </c>
      <c r="I100" s="1">
        <v>-31492.799999999999</v>
      </c>
    </row>
    <row r="101" spans="1:9" hidden="1" x14ac:dyDescent="0.25">
      <c r="A101" s="1" t="s">
        <v>143</v>
      </c>
      <c r="B101" s="1" t="s">
        <v>9</v>
      </c>
      <c r="C101" s="1" t="s">
        <v>10</v>
      </c>
      <c r="D101" s="1">
        <v>2332.8000000000002</v>
      </c>
      <c r="E101" s="1">
        <v>0</v>
      </c>
      <c r="F101" s="1">
        <v>0</v>
      </c>
      <c r="G101" s="1">
        <v>0</v>
      </c>
      <c r="H101" s="1">
        <v>0</v>
      </c>
      <c r="I101" s="1">
        <v>-31492.799999999999</v>
      </c>
    </row>
    <row r="102" spans="1:9" hidden="1" x14ac:dyDescent="0.25">
      <c r="A102" s="1" t="s">
        <v>143</v>
      </c>
      <c r="B102" s="1" t="s">
        <v>19</v>
      </c>
      <c r="C102" s="1" t="s">
        <v>18</v>
      </c>
      <c r="D102" s="1">
        <v>583.20000000000005</v>
      </c>
      <c r="E102" s="1">
        <v>0</v>
      </c>
      <c r="F102" s="1">
        <v>0</v>
      </c>
      <c r="G102" s="1">
        <v>0</v>
      </c>
      <c r="H102" s="1">
        <v>0</v>
      </c>
      <c r="I102" s="1">
        <v>-7873.2</v>
      </c>
    </row>
    <row r="103" spans="1:9" x14ac:dyDescent="0.25">
      <c r="A103" s="1" t="s">
        <v>143</v>
      </c>
      <c r="B103" s="1" t="s">
        <v>19</v>
      </c>
      <c r="C103" s="1" t="s">
        <v>10</v>
      </c>
      <c r="D103" s="1">
        <v>583.20000000000005</v>
      </c>
      <c r="E103" s="1">
        <v>0</v>
      </c>
      <c r="F103" s="1">
        <v>0</v>
      </c>
      <c r="G103" s="1">
        <v>0</v>
      </c>
      <c r="H103" s="1">
        <v>0</v>
      </c>
      <c r="I103" s="1">
        <v>-7873.2</v>
      </c>
    </row>
    <row r="104" spans="1:9" hidden="1" x14ac:dyDescent="0.25">
      <c r="A104" s="1" t="s">
        <v>143</v>
      </c>
      <c r="B104" s="1" t="s">
        <v>92</v>
      </c>
      <c r="C104" s="1" t="s">
        <v>18</v>
      </c>
      <c r="D104" s="1">
        <v>0</v>
      </c>
      <c r="E104" s="1">
        <v>-196.8</v>
      </c>
      <c r="F104" s="1">
        <v>0</v>
      </c>
      <c r="G104" s="1">
        <v>0</v>
      </c>
      <c r="H104" s="1">
        <v>0</v>
      </c>
      <c r="I104" s="1">
        <v>-3340.6590000000001</v>
      </c>
    </row>
    <row r="105" spans="1:9" hidden="1" x14ac:dyDescent="0.25">
      <c r="A105" s="1" t="s">
        <v>143</v>
      </c>
      <c r="B105" s="1" t="s">
        <v>92</v>
      </c>
      <c r="C105" s="1" t="s">
        <v>10</v>
      </c>
      <c r="D105" s="1">
        <v>0</v>
      </c>
      <c r="E105" s="1">
        <v>-196.8</v>
      </c>
      <c r="F105" s="1">
        <v>0</v>
      </c>
      <c r="G105" s="1">
        <v>0</v>
      </c>
      <c r="H105" s="1">
        <v>0</v>
      </c>
      <c r="I105" s="1">
        <v>-4165.5469999999996</v>
      </c>
    </row>
    <row r="106" spans="1:9" hidden="1" x14ac:dyDescent="0.25">
      <c r="A106" s="1" t="s">
        <v>143</v>
      </c>
      <c r="B106" s="1" t="s">
        <v>11</v>
      </c>
      <c r="C106" s="1" t="s">
        <v>18</v>
      </c>
      <c r="D106" s="1">
        <v>0</v>
      </c>
      <c r="E106" s="1">
        <v>155.02000000000001</v>
      </c>
      <c r="F106" s="1">
        <v>0</v>
      </c>
      <c r="G106" s="1">
        <v>0</v>
      </c>
      <c r="H106" s="1">
        <v>0</v>
      </c>
      <c r="I106" s="1">
        <v>2688.4119999999998</v>
      </c>
    </row>
    <row r="107" spans="1:9" hidden="1" x14ac:dyDescent="0.25">
      <c r="A107" s="1" t="s">
        <v>143</v>
      </c>
      <c r="B107" s="1" t="s">
        <v>11</v>
      </c>
      <c r="C107" s="1" t="s">
        <v>10</v>
      </c>
      <c r="D107" s="1">
        <v>0</v>
      </c>
      <c r="E107" s="1">
        <v>155.02000000000001</v>
      </c>
      <c r="F107" s="1">
        <v>0</v>
      </c>
      <c r="G107" s="1">
        <v>0</v>
      </c>
      <c r="H107" s="1">
        <v>0</v>
      </c>
      <c r="I107" s="1">
        <v>3285.4879999999998</v>
      </c>
    </row>
    <row r="108" spans="1:9" hidden="1" x14ac:dyDescent="0.25">
      <c r="A108" s="1" t="s">
        <v>143</v>
      </c>
      <c r="B108" s="1" t="s">
        <v>12</v>
      </c>
      <c r="C108" s="1" t="s">
        <v>18</v>
      </c>
      <c r="D108" s="1">
        <v>275.04000000000002</v>
      </c>
      <c r="E108" s="1">
        <v>0</v>
      </c>
      <c r="F108" s="1">
        <v>0</v>
      </c>
      <c r="G108" s="1">
        <v>0</v>
      </c>
      <c r="H108" s="1">
        <v>0</v>
      </c>
      <c r="I108" s="1">
        <v>-3713.0010000000002</v>
      </c>
    </row>
    <row r="109" spans="1:9" hidden="1" x14ac:dyDescent="0.25">
      <c r="A109" s="1" t="s">
        <v>143</v>
      </c>
      <c r="B109" s="1" t="s">
        <v>12</v>
      </c>
      <c r="C109" s="1" t="s">
        <v>10</v>
      </c>
      <c r="D109" s="1">
        <v>275.04000000000002</v>
      </c>
      <c r="E109" s="1">
        <v>0</v>
      </c>
      <c r="F109" s="1">
        <v>0</v>
      </c>
      <c r="G109" s="1">
        <v>0</v>
      </c>
      <c r="H109" s="1">
        <v>0</v>
      </c>
      <c r="I109" s="1">
        <v>-3713.0010000000002</v>
      </c>
    </row>
    <row r="110" spans="1:9" hidden="1" x14ac:dyDescent="0.25">
      <c r="A110" s="1" t="s">
        <v>143</v>
      </c>
      <c r="B110" s="1" t="s">
        <v>13</v>
      </c>
      <c r="C110" s="1" t="s">
        <v>18</v>
      </c>
      <c r="D110" s="1">
        <v>0</v>
      </c>
      <c r="E110" s="1">
        <v>187.91</v>
      </c>
      <c r="F110" s="1">
        <v>0</v>
      </c>
      <c r="G110" s="1">
        <v>0</v>
      </c>
      <c r="H110" s="1">
        <v>0</v>
      </c>
      <c r="I110" s="1">
        <v>3258.893</v>
      </c>
    </row>
    <row r="111" spans="1:9" hidden="1" x14ac:dyDescent="0.25">
      <c r="A111" s="1" t="s">
        <v>143</v>
      </c>
      <c r="B111" s="1" t="s">
        <v>13</v>
      </c>
      <c r="C111" s="1" t="s">
        <v>10</v>
      </c>
      <c r="D111" s="1">
        <v>0</v>
      </c>
      <c r="E111" s="1">
        <v>187.91</v>
      </c>
      <c r="F111" s="1">
        <v>0</v>
      </c>
      <c r="G111" s="1">
        <v>0</v>
      </c>
      <c r="H111" s="1">
        <v>0</v>
      </c>
      <c r="I111" s="1">
        <v>3982.6680000000001</v>
      </c>
    </row>
    <row r="112" spans="1:9" hidden="1" x14ac:dyDescent="0.25">
      <c r="A112" s="1" t="s">
        <v>143</v>
      </c>
      <c r="B112" s="1" t="s">
        <v>21</v>
      </c>
      <c r="C112" s="1" t="s">
        <v>18</v>
      </c>
      <c r="D112" s="1">
        <v>0</v>
      </c>
      <c r="E112" s="1">
        <v>-187.91</v>
      </c>
      <c r="F112" s="1">
        <v>0</v>
      </c>
      <c r="G112" s="1">
        <v>0</v>
      </c>
      <c r="H112" s="1">
        <v>0</v>
      </c>
      <c r="I112" s="1">
        <v>-3258.893</v>
      </c>
    </row>
    <row r="113" spans="1:9" hidden="1" x14ac:dyDescent="0.25">
      <c r="A113" s="1" t="s">
        <v>143</v>
      </c>
      <c r="B113" s="1" t="s">
        <v>21</v>
      </c>
      <c r="C113" s="1" t="s">
        <v>10</v>
      </c>
      <c r="D113" s="1">
        <v>0</v>
      </c>
      <c r="E113" s="1">
        <v>-187.91</v>
      </c>
      <c r="F113" s="1">
        <v>0</v>
      </c>
      <c r="G113" s="1">
        <v>0</v>
      </c>
      <c r="H113" s="1">
        <v>0</v>
      </c>
      <c r="I113" s="1">
        <v>-3982.6680000000001</v>
      </c>
    </row>
    <row r="114" spans="1:9" hidden="1" x14ac:dyDescent="0.25">
      <c r="A114" s="1" t="s">
        <v>144</v>
      </c>
      <c r="B114" s="1" t="s">
        <v>9</v>
      </c>
      <c r="C114" s="1" t="s">
        <v>18</v>
      </c>
      <c r="D114" s="1">
        <v>2624.4</v>
      </c>
      <c r="E114" s="1">
        <v>0</v>
      </c>
      <c r="F114" s="1">
        <v>0</v>
      </c>
      <c r="G114" s="1">
        <v>0</v>
      </c>
      <c r="H114" s="1">
        <v>0</v>
      </c>
      <c r="I114" s="1">
        <v>-35429.4</v>
      </c>
    </row>
    <row r="115" spans="1:9" hidden="1" x14ac:dyDescent="0.25">
      <c r="A115" s="1" t="s">
        <v>144</v>
      </c>
      <c r="B115" s="1" t="s">
        <v>9</v>
      </c>
      <c r="C115" s="1" t="s">
        <v>10</v>
      </c>
      <c r="D115" s="1">
        <v>2624.4</v>
      </c>
      <c r="E115" s="1">
        <v>0</v>
      </c>
      <c r="F115" s="1">
        <v>0</v>
      </c>
      <c r="G115" s="1">
        <v>0</v>
      </c>
      <c r="H115" s="1">
        <v>0</v>
      </c>
      <c r="I115" s="1">
        <v>-35429.4</v>
      </c>
    </row>
    <row r="116" spans="1:9" hidden="1" x14ac:dyDescent="0.25">
      <c r="A116" s="1" t="s">
        <v>144</v>
      </c>
      <c r="B116" s="1" t="s">
        <v>19</v>
      </c>
      <c r="C116" s="1" t="s">
        <v>18</v>
      </c>
      <c r="D116" s="1">
        <v>656.1</v>
      </c>
      <c r="E116" s="1">
        <v>0</v>
      </c>
      <c r="F116" s="1">
        <v>0</v>
      </c>
      <c r="G116" s="1">
        <v>0</v>
      </c>
      <c r="H116" s="1">
        <v>0</v>
      </c>
      <c r="I116" s="1">
        <v>-8857.35</v>
      </c>
    </row>
    <row r="117" spans="1:9" x14ac:dyDescent="0.25">
      <c r="A117" s="1" t="s">
        <v>144</v>
      </c>
      <c r="B117" s="1" t="s">
        <v>19</v>
      </c>
      <c r="C117" s="1" t="s">
        <v>10</v>
      </c>
      <c r="D117" s="1">
        <v>656.1</v>
      </c>
      <c r="E117" s="1">
        <v>0</v>
      </c>
      <c r="F117" s="1">
        <v>0</v>
      </c>
      <c r="G117" s="1">
        <v>0</v>
      </c>
      <c r="H117" s="1">
        <v>0</v>
      </c>
      <c r="I117" s="1">
        <v>-8857.35</v>
      </c>
    </row>
    <row r="118" spans="1:9" hidden="1" x14ac:dyDescent="0.25">
      <c r="A118" s="1" t="s">
        <v>144</v>
      </c>
      <c r="B118" s="1" t="s">
        <v>92</v>
      </c>
      <c r="C118" s="1" t="s">
        <v>18</v>
      </c>
      <c r="D118" s="1">
        <v>0</v>
      </c>
      <c r="E118" s="1">
        <v>-208.57</v>
      </c>
      <c r="F118" s="1">
        <v>0</v>
      </c>
      <c r="G118" s="1">
        <v>0</v>
      </c>
      <c r="H118" s="1">
        <v>0</v>
      </c>
      <c r="I118" s="1">
        <v>-4165.5469999999996</v>
      </c>
    </row>
    <row r="119" spans="1:9" hidden="1" x14ac:dyDescent="0.25">
      <c r="A119" s="1" t="s">
        <v>144</v>
      </c>
      <c r="B119" s="1" t="s">
        <v>92</v>
      </c>
      <c r="C119" s="1" t="s">
        <v>10</v>
      </c>
      <c r="D119" s="1">
        <v>0</v>
      </c>
      <c r="E119" s="1">
        <v>-208.57</v>
      </c>
      <c r="F119" s="1">
        <v>0</v>
      </c>
      <c r="G119" s="1">
        <v>0</v>
      </c>
      <c r="H119" s="1">
        <v>0</v>
      </c>
      <c r="I119" s="1">
        <v>-5043.9009999999998</v>
      </c>
    </row>
    <row r="120" spans="1:9" hidden="1" x14ac:dyDescent="0.25">
      <c r="A120" s="1" t="s">
        <v>144</v>
      </c>
      <c r="B120" s="1" t="s">
        <v>11</v>
      </c>
      <c r="C120" s="1" t="s">
        <v>18</v>
      </c>
      <c r="D120" s="1">
        <v>0</v>
      </c>
      <c r="E120" s="1">
        <v>165.17</v>
      </c>
      <c r="F120" s="1">
        <v>0</v>
      </c>
      <c r="G120" s="1">
        <v>0</v>
      </c>
      <c r="H120" s="1">
        <v>0</v>
      </c>
      <c r="I120" s="1">
        <v>3285.4879999999998</v>
      </c>
    </row>
    <row r="121" spans="1:9" hidden="1" x14ac:dyDescent="0.25">
      <c r="A121" s="1" t="s">
        <v>144</v>
      </c>
      <c r="B121" s="1" t="s">
        <v>11</v>
      </c>
      <c r="C121" s="1" t="s">
        <v>10</v>
      </c>
      <c r="D121" s="1">
        <v>0</v>
      </c>
      <c r="E121" s="1">
        <v>165.17</v>
      </c>
      <c r="F121" s="1">
        <v>0</v>
      </c>
      <c r="G121" s="1">
        <v>0</v>
      </c>
      <c r="H121" s="1">
        <v>0</v>
      </c>
      <c r="I121" s="1">
        <v>3921.9929999999999</v>
      </c>
    </row>
    <row r="122" spans="1:9" hidden="1" x14ac:dyDescent="0.25">
      <c r="A122" s="1" t="s">
        <v>144</v>
      </c>
      <c r="B122" s="1" t="s">
        <v>12</v>
      </c>
      <c r="C122" s="1" t="s">
        <v>18</v>
      </c>
      <c r="D122" s="1">
        <v>309.42</v>
      </c>
      <c r="E122" s="1">
        <v>0</v>
      </c>
      <c r="F122" s="1">
        <v>0</v>
      </c>
      <c r="G122" s="1">
        <v>0</v>
      </c>
      <c r="H122" s="1">
        <v>0</v>
      </c>
      <c r="I122" s="1">
        <v>-4177.1260000000002</v>
      </c>
    </row>
    <row r="123" spans="1:9" hidden="1" x14ac:dyDescent="0.25">
      <c r="A123" s="1" t="s">
        <v>144</v>
      </c>
      <c r="B123" s="1" t="s">
        <v>12</v>
      </c>
      <c r="C123" s="1" t="s">
        <v>10</v>
      </c>
      <c r="D123" s="1">
        <v>309.42</v>
      </c>
      <c r="E123" s="1">
        <v>0</v>
      </c>
      <c r="F123" s="1">
        <v>0</v>
      </c>
      <c r="G123" s="1">
        <v>0</v>
      </c>
      <c r="H123" s="1">
        <v>0</v>
      </c>
      <c r="I123" s="1">
        <v>-4177.1260000000002</v>
      </c>
    </row>
    <row r="124" spans="1:9" hidden="1" x14ac:dyDescent="0.25">
      <c r="A124" s="1" t="s">
        <v>144</v>
      </c>
      <c r="B124" s="1" t="s">
        <v>13</v>
      </c>
      <c r="C124" s="1" t="s">
        <v>18</v>
      </c>
      <c r="D124" s="1">
        <v>0</v>
      </c>
      <c r="E124" s="1">
        <v>200.21</v>
      </c>
      <c r="F124" s="1">
        <v>0</v>
      </c>
      <c r="G124" s="1">
        <v>0</v>
      </c>
      <c r="H124" s="1">
        <v>0</v>
      </c>
      <c r="I124" s="1">
        <v>3982.6680000000001</v>
      </c>
    </row>
    <row r="125" spans="1:9" hidden="1" x14ac:dyDescent="0.25">
      <c r="A125" s="1" t="s">
        <v>144</v>
      </c>
      <c r="B125" s="1" t="s">
        <v>13</v>
      </c>
      <c r="C125" s="1" t="s">
        <v>10</v>
      </c>
      <c r="D125" s="1">
        <v>0</v>
      </c>
      <c r="E125" s="1">
        <v>200.21</v>
      </c>
      <c r="F125" s="1">
        <v>0</v>
      </c>
      <c r="G125" s="1">
        <v>0</v>
      </c>
      <c r="H125" s="1">
        <v>0</v>
      </c>
      <c r="I125" s="1">
        <v>4754.24</v>
      </c>
    </row>
    <row r="126" spans="1:9" hidden="1" x14ac:dyDescent="0.25">
      <c r="A126" s="1" t="s">
        <v>144</v>
      </c>
      <c r="B126" s="1" t="s">
        <v>21</v>
      </c>
      <c r="C126" s="1" t="s">
        <v>18</v>
      </c>
      <c r="D126" s="1">
        <v>0</v>
      </c>
      <c r="E126" s="1">
        <v>-200.21</v>
      </c>
      <c r="F126" s="1">
        <v>0</v>
      </c>
      <c r="G126" s="1">
        <v>0</v>
      </c>
      <c r="H126" s="1">
        <v>0</v>
      </c>
      <c r="I126" s="1">
        <v>-3982.6680000000001</v>
      </c>
    </row>
    <row r="127" spans="1:9" hidden="1" x14ac:dyDescent="0.25">
      <c r="A127" s="1" t="s">
        <v>144</v>
      </c>
      <c r="B127" s="1" t="s">
        <v>21</v>
      </c>
      <c r="C127" s="1" t="s">
        <v>10</v>
      </c>
      <c r="D127" s="1">
        <v>0</v>
      </c>
      <c r="E127" s="1">
        <v>-200.21</v>
      </c>
      <c r="F127" s="1">
        <v>0</v>
      </c>
      <c r="G127" s="1">
        <v>0</v>
      </c>
      <c r="H127" s="1">
        <v>0</v>
      </c>
      <c r="I127" s="1">
        <v>-4754.24</v>
      </c>
    </row>
    <row r="128" spans="1:9" hidden="1" x14ac:dyDescent="0.25">
      <c r="A128" s="1" t="s">
        <v>91</v>
      </c>
      <c r="B128" s="1" t="s">
        <v>9</v>
      </c>
      <c r="C128" s="1" t="s">
        <v>18</v>
      </c>
      <c r="D128" s="1">
        <v>2916</v>
      </c>
      <c r="E128" s="1">
        <v>0</v>
      </c>
      <c r="F128" s="1">
        <v>0</v>
      </c>
      <c r="G128" s="1">
        <v>0</v>
      </c>
      <c r="H128" s="1">
        <v>0</v>
      </c>
      <c r="I128" s="1">
        <v>-39366</v>
      </c>
    </row>
    <row r="129" spans="1:9" hidden="1" x14ac:dyDescent="0.25">
      <c r="A129" s="1" t="s">
        <v>91</v>
      </c>
      <c r="B129" s="1" t="s">
        <v>9</v>
      </c>
      <c r="C129" s="1" t="s">
        <v>10</v>
      </c>
      <c r="D129" s="1">
        <v>2916</v>
      </c>
      <c r="E129" s="1">
        <v>0</v>
      </c>
      <c r="F129" s="1">
        <v>0</v>
      </c>
      <c r="G129" s="1">
        <v>0</v>
      </c>
      <c r="H129" s="1">
        <v>0</v>
      </c>
      <c r="I129" s="1">
        <v>-39366</v>
      </c>
    </row>
    <row r="130" spans="1:9" hidden="1" x14ac:dyDescent="0.25">
      <c r="A130" s="1" t="s">
        <v>91</v>
      </c>
      <c r="B130" s="1" t="s">
        <v>19</v>
      </c>
      <c r="C130" s="1" t="s">
        <v>18</v>
      </c>
      <c r="D130" s="1">
        <v>729</v>
      </c>
      <c r="E130" s="1">
        <v>0</v>
      </c>
      <c r="F130" s="1">
        <v>0</v>
      </c>
      <c r="G130" s="1">
        <v>0</v>
      </c>
      <c r="H130" s="1">
        <v>0</v>
      </c>
      <c r="I130" s="1">
        <v>-9841.5</v>
      </c>
    </row>
    <row r="131" spans="1:9" x14ac:dyDescent="0.25">
      <c r="A131" s="1" t="s">
        <v>91</v>
      </c>
      <c r="B131" s="1" t="s">
        <v>19</v>
      </c>
      <c r="C131" s="1" t="s">
        <v>10</v>
      </c>
      <c r="D131" s="1">
        <v>729</v>
      </c>
      <c r="E131" s="1">
        <v>0</v>
      </c>
      <c r="F131" s="1">
        <v>0</v>
      </c>
      <c r="G131" s="1">
        <v>0</v>
      </c>
      <c r="H131" s="1">
        <v>0</v>
      </c>
      <c r="I131" s="1">
        <v>-9841.5</v>
      </c>
    </row>
    <row r="132" spans="1:9" hidden="1" x14ac:dyDescent="0.25">
      <c r="A132" s="1" t="s">
        <v>91</v>
      </c>
      <c r="B132" s="1" t="s">
        <v>92</v>
      </c>
      <c r="C132" s="1" t="s">
        <v>18</v>
      </c>
      <c r="D132" s="1">
        <v>0</v>
      </c>
      <c r="E132" s="1">
        <v>-217.48</v>
      </c>
      <c r="F132" s="1">
        <v>0</v>
      </c>
      <c r="G132" s="1">
        <v>0</v>
      </c>
      <c r="H132" s="1">
        <v>0</v>
      </c>
      <c r="I132" s="1">
        <v>-5043.9009999999998</v>
      </c>
    </row>
    <row r="133" spans="1:9" hidden="1" x14ac:dyDescent="0.25">
      <c r="A133" s="1" t="s">
        <v>91</v>
      </c>
      <c r="B133" s="1" t="s">
        <v>92</v>
      </c>
      <c r="C133" s="1" t="s">
        <v>10</v>
      </c>
      <c r="D133" s="1">
        <v>0</v>
      </c>
      <c r="E133" s="1">
        <v>-217.48</v>
      </c>
      <c r="F133" s="1">
        <v>0</v>
      </c>
      <c r="G133" s="1">
        <v>0</v>
      </c>
      <c r="H133" s="1">
        <v>0</v>
      </c>
      <c r="I133" s="1">
        <v>-5962.8220000000001</v>
      </c>
    </row>
    <row r="134" spans="1:9" hidden="1" x14ac:dyDescent="0.25">
      <c r="A134" s="1" t="s">
        <v>91</v>
      </c>
      <c r="B134" s="1" t="s">
        <v>11</v>
      </c>
      <c r="C134" s="1" t="s">
        <v>18</v>
      </c>
      <c r="D134" s="1">
        <v>0</v>
      </c>
      <c r="E134" s="1">
        <v>174.46</v>
      </c>
      <c r="F134" s="1">
        <v>0</v>
      </c>
      <c r="G134" s="1">
        <v>0</v>
      </c>
      <c r="H134" s="1">
        <v>0</v>
      </c>
      <c r="I134" s="1">
        <v>3921.9929999999999</v>
      </c>
    </row>
    <row r="135" spans="1:9" hidden="1" x14ac:dyDescent="0.25">
      <c r="A135" s="1" t="s">
        <v>91</v>
      </c>
      <c r="B135" s="1" t="s">
        <v>11</v>
      </c>
      <c r="C135" s="1" t="s">
        <v>10</v>
      </c>
      <c r="D135" s="1">
        <v>0</v>
      </c>
      <c r="E135" s="1">
        <v>174.46</v>
      </c>
      <c r="F135" s="1">
        <v>0</v>
      </c>
      <c r="G135" s="1">
        <v>0</v>
      </c>
      <c r="H135" s="1">
        <v>0</v>
      </c>
      <c r="I135" s="1">
        <v>4594.0550000000003</v>
      </c>
    </row>
    <row r="136" spans="1:9" hidden="1" x14ac:dyDescent="0.25">
      <c r="A136" s="1" t="s">
        <v>91</v>
      </c>
      <c r="B136" s="1" t="s">
        <v>12</v>
      </c>
      <c r="C136" s="1" t="s">
        <v>18</v>
      </c>
      <c r="D136" s="1">
        <v>343.8</v>
      </c>
      <c r="E136" s="1">
        <v>0</v>
      </c>
      <c r="F136" s="1">
        <v>0</v>
      </c>
      <c r="G136" s="1">
        <v>0</v>
      </c>
      <c r="H136" s="1">
        <v>0</v>
      </c>
      <c r="I136" s="1">
        <v>-4641.2510000000002</v>
      </c>
    </row>
    <row r="137" spans="1:9" hidden="1" x14ac:dyDescent="0.25">
      <c r="A137" s="1" t="s">
        <v>91</v>
      </c>
      <c r="B137" s="1" t="s">
        <v>12</v>
      </c>
      <c r="C137" s="1" t="s">
        <v>10</v>
      </c>
      <c r="D137" s="1">
        <v>343.8</v>
      </c>
      <c r="E137" s="1">
        <v>0</v>
      </c>
      <c r="F137" s="1">
        <v>0</v>
      </c>
      <c r="G137" s="1">
        <v>0</v>
      </c>
      <c r="H137" s="1">
        <v>0</v>
      </c>
      <c r="I137" s="1">
        <v>-4641.2510000000002</v>
      </c>
    </row>
    <row r="138" spans="1:9" hidden="1" x14ac:dyDescent="0.25">
      <c r="A138" s="1" t="s">
        <v>91</v>
      </c>
      <c r="B138" s="1" t="s">
        <v>13</v>
      </c>
      <c r="C138" s="1" t="s">
        <v>18</v>
      </c>
      <c r="D138" s="1">
        <v>0</v>
      </c>
      <c r="E138" s="1">
        <v>211.48</v>
      </c>
      <c r="F138" s="1">
        <v>0</v>
      </c>
      <c r="G138" s="1">
        <v>0</v>
      </c>
      <c r="H138" s="1">
        <v>0</v>
      </c>
      <c r="I138" s="1">
        <v>4754.24</v>
      </c>
    </row>
    <row r="139" spans="1:9" hidden="1" x14ac:dyDescent="0.25">
      <c r="A139" s="1" t="s">
        <v>91</v>
      </c>
      <c r="B139" s="1" t="s">
        <v>13</v>
      </c>
      <c r="C139" s="1" t="s">
        <v>10</v>
      </c>
      <c r="D139" s="1">
        <v>0</v>
      </c>
      <c r="E139" s="1">
        <v>211.48</v>
      </c>
      <c r="F139" s="1">
        <v>0</v>
      </c>
      <c r="G139" s="1">
        <v>0</v>
      </c>
      <c r="H139" s="1">
        <v>0</v>
      </c>
      <c r="I139" s="1">
        <v>5568.9139999999998</v>
      </c>
    </row>
    <row r="140" spans="1:9" hidden="1" x14ac:dyDescent="0.25">
      <c r="A140" s="1" t="s">
        <v>91</v>
      </c>
      <c r="B140" s="1" t="s">
        <v>21</v>
      </c>
      <c r="C140" s="1" t="s">
        <v>18</v>
      </c>
      <c r="D140" s="1">
        <v>0</v>
      </c>
      <c r="E140" s="1">
        <v>-211.48</v>
      </c>
      <c r="F140" s="1">
        <v>0</v>
      </c>
      <c r="G140" s="1">
        <v>0</v>
      </c>
      <c r="H140" s="1">
        <v>0</v>
      </c>
      <c r="I140" s="1">
        <v>-4754.24</v>
      </c>
    </row>
    <row r="141" spans="1:9" hidden="1" x14ac:dyDescent="0.25">
      <c r="A141" s="1" t="s">
        <v>91</v>
      </c>
      <c r="B141" s="1" t="s">
        <v>21</v>
      </c>
      <c r="C141" s="1" t="s">
        <v>10</v>
      </c>
      <c r="D141" s="1">
        <v>0</v>
      </c>
      <c r="E141" s="1">
        <v>-211.48</v>
      </c>
      <c r="F141" s="1">
        <v>0</v>
      </c>
      <c r="G141" s="1">
        <v>0</v>
      </c>
      <c r="H141" s="1">
        <v>0</v>
      </c>
      <c r="I141" s="1">
        <v>-5568.9139999999998</v>
      </c>
    </row>
    <row r="142" spans="1:9" hidden="1" x14ac:dyDescent="0.25">
      <c r="A142" s="1" t="s">
        <v>17</v>
      </c>
      <c r="B142" s="1" t="s">
        <v>9</v>
      </c>
      <c r="C142" s="1" t="s">
        <v>18</v>
      </c>
      <c r="D142" s="1">
        <v>3207.6</v>
      </c>
      <c r="E142" s="1">
        <v>0</v>
      </c>
      <c r="F142" s="1">
        <v>0</v>
      </c>
      <c r="G142" s="1">
        <v>0</v>
      </c>
      <c r="H142" s="1">
        <v>0</v>
      </c>
      <c r="I142" s="1">
        <v>-43302.6</v>
      </c>
    </row>
    <row r="143" spans="1:9" hidden="1" x14ac:dyDescent="0.25">
      <c r="A143" s="1" t="s">
        <v>17</v>
      </c>
      <c r="B143" s="1" t="s">
        <v>9</v>
      </c>
      <c r="C143" s="1" t="s">
        <v>10</v>
      </c>
      <c r="D143" s="1">
        <v>3207.6</v>
      </c>
      <c r="E143" s="1">
        <v>0</v>
      </c>
      <c r="F143" s="1">
        <v>0</v>
      </c>
      <c r="G143" s="1">
        <v>0</v>
      </c>
      <c r="H143" s="1">
        <v>0</v>
      </c>
      <c r="I143" s="1">
        <v>-43302.6</v>
      </c>
    </row>
    <row r="144" spans="1:9" hidden="1" x14ac:dyDescent="0.25">
      <c r="A144" s="1" t="s">
        <v>17</v>
      </c>
      <c r="B144" s="1" t="s">
        <v>19</v>
      </c>
      <c r="C144" s="1" t="s">
        <v>18</v>
      </c>
      <c r="D144" s="1">
        <v>801.9</v>
      </c>
      <c r="E144" s="1">
        <v>0</v>
      </c>
      <c r="F144" s="1">
        <v>0</v>
      </c>
      <c r="G144" s="1">
        <v>0</v>
      </c>
      <c r="H144" s="1">
        <v>0</v>
      </c>
      <c r="I144" s="1">
        <v>-10825.65</v>
      </c>
    </row>
    <row r="145" spans="1:9" x14ac:dyDescent="0.25">
      <c r="A145" s="1" t="s">
        <v>17</v>
      </c>
      <c r="B145" s="1" t="s">
        <v>19</v>
      </c>
      <c r="C145" s="1" t="s">
        <v>10</v>
      </c>
      <c r="D145" s="1">
        <v>801.9</v>
      </c>
      <c r="E145" s="1">
        <v>0</v>
      </c>
      <c r="F145" s="1">
        <v>0</v>
      </c>
      <c r="G145" s="1">
        <v>0</v>
      </c>
      <c r="H145" s="1">
        <v>0</v>
      </c>
      <c r="I145" s="1">
        <v>-10825.65</v>
      </c>
    </row>
    <row r="146" spans="1:9" hidden="1" x14ac:dyDescent="0.25">
      <c r="A146" s="1" t="s">
        <v>17</v>
      </c>
      <c r="B146" s="1" t="s">
        <v>92</v>
      </c>
      <c r="C146" s="1" t="s">
        <v>18</v>
      </c>
      <c r="D146" s="1">
        <v>0</v>
      </c>
      <c r="E146" s="1">
        <v>-223.54</v>
      </c>
      <c r="F146" s="1">
        <v>0</v>
      </c>
      <c r="G146" s="1">
        <v>0</v>
      </c>
      <c r="H146" s="1">
        <v>0</v>
      </c>
      <c r="I146" s="1">
        <v>-5962.8220000000001</v>
      </c>
    </row>
    <row r="147" spans="1:9" hidden="1" x14ac:dyDescent="0.25">
      <c r="A147" s="1" t="s">
        <v>17</v>
      </c>
      <c r="B147" s="1" t="s">
        <v>92</v>
      </c>
      <c r="C147" s="1" t="s">
        <v>10</v>
      </c>
      <c r="D147" s="1">
        <v>0</v>
      </c>
      <c r="E147" s="1">
        <v>-223.54</v>
      </c>
      <c r="F147" s="1">
        <v>0</v>
      </c>
      <c r="G147" s="1">
        <v>0</v>
      </c>
      <c r="H147" s="1">
        <v>0</v>
      </c>
      <c r="I147" s="1">
        <v>-6905.9750000000004</v>
      </c>
    </row>
    <row r="148" spans="1:9" hidden="1" x14ac:dyDescent="0.25">
      <c r="A148" s="1" t="s">
        <v>17</v>
      </c>
      <c r="B148" s="1" t="s">
        <v>11</v>
      </c>
      <c r="C148" s="1" t="s">
        <v>18</v>
      </c>
      <c r="D148" s="1">
        <v>0</v>
      </c>
      <c r="E148" s="1">
        <v>182.29</v>
      </c>
      <c r="F148" s="1">
        <v>0</v>
      </c>
      <c r="G148" s="1">
        <v>0</v>
      </c>
      <c r="H148" s="1">
        <v>0</v>
      </c>
      <c r="I148" s="1">
        <v>4594.0550000000003</v>
      </c>
    </row>
    <row r="149" spans="1:9" hidden="1" x14ac:dyDescent="0.25">
      <c r="A149" s="1" t="s">
        <v>17</v>
      </c>
      <c r="B149" s="1" t="s">
        <v>11</v>
      </c>
      <c r="C149" s="1" t="s">
        <v>10</v>
      </c>
      <c r="D149" s="1">
        <v>0</v>
      </c>
      <c r="E149" s="1">
        <v>182.29</v>
      </c>
      <c r="F149" s="1">
        <v>0</v>
      </c>
      <c r="G149" s="1">
        <v>0</v>
      </c>
      <c r="H149" s="1">
        <v>0</v>
      </c>
      <c r="I149" s="1">
        <v>5294.6890000000003</v>
      </c>
    </row>
    <row r="150" spans="1:9" hidden="1" x14ac:dyDescent="0.25">
      <c r="A150" s="1" t="s">
        <v>17</v>
      </c>
      <c r="B150" s="1" t="s">
        <v>12</v>
      </c>
      <c r="C150" s="1" t="s">
        <v>18</v>
      </c>
      <c r="D150" s="1">
        <v>378.18</v>
      </c>
      <c r="E150" s="1">
        <v>0</v>
      </c>
      <c r="F150" s="1">
        <v>0</v>
      </c>
      <c r="G150" s="1">
        <v>0</v>
      </c>
      <c r="H150" s="1">
        <v>0</v>
      </c>
      <c r="I150" s="1">
        <v>-5105.3770000000004</v>
      </c>
    </row>
    <row r="151" spans="1:9" hidden="1" x14ac:dyDescent="0.25">
      <c r="A151" s="1" t="s">
        <v>17</v>
      </c>
      <c r="B151" s="1" t="s">
        <v>12</v>
      </c>
      <c r="C151" s="1" t="s">
        <v>10</v>
      </c>
      <c r="D151" s="1">
        <v>378.18</v>
      </c>
      <c r="E151" s="1">
        <v>0</v>
      </c>
      <c r="F151" s="1">
        <v>0</v>
      </c>
      <c r="G151" s="1">
        <v>0</v>
      </c>
      <c r="H151" s="1">
        <v>0</v>
      </c>
      <c r="I151" s="1">
        <v>-5105.3770000000004</v>
      </c>
    </row>
    <row r="152" spans="1:9" hidden="1" x14ac:dyDescent="0.25">
      <c r="A152" s="1" t="s">
        <v>17</v>
      </c>
      <c r="B152" s="1" t="s">
        <v>13</v>
      </c>
      <c r="C152" s="1" t="s">
        <v>18</v>
      </c>
      <c r="D152" s="1">
        <v>0</v>
      </c>
      <c r="E152" s="1">
        <v>220.97</v>
      </c>
      <c r="F152" s="1">
        <v>0</v>
      </c>
      <c r="G152" s="1">
        <v>0</v>
      </c>
      <c r="H152" s="1">
        <v>0</v>
      </c>
      <c r="I152" s="1">
        <v>5568.9139999999998</v>
      </c>
    </row>
    <row r="153" spans="1:9" hidden="1" x14ac:dyDescent="0.25">
      <c r="A153" s="1" t="s">
        <v>17</v>
      </c>
      <c r="B153" s="1" t="s">
        <v>13</v>
      </c>
      <c r="C153" s="1" t="s">
        <v>10</v>
      </c>
      <c r="D153" s="1">
        <v>0</v>
      </c>
      <c r="E153" s="1">
        <v>220.97</v>
      </c>
      <c r="F153" s="1">
        <v>0</v>
      </c>
      <c r="G153" s="1">
        <v>0</v>
      </c>
      <c r="H153" s="1">
        <v>0</v>
      </c>
      <c r="I153" s="1">
        <v>6418.2219999999998</v>
      </c>
    </row>
    <row r="154" spans="1:9" hidden="1" x14ac:dyDescent="0.25">
      <c r="A154" s="1" t="s">
        <v>17</v>
      </c>
      <c r="B154" s="1" t="s">
        <v>21</v>
      </c>
      <c r="C154" s="1" t="s">
        <v>18</v>
      </c>
      <c r="D154" s="1">
        <v>0</v>
      </c>
      <c r="E154" s="1">
        <v>-220.97</v>
      </c>
      <c r="F154" s="1">
        <v>0</v>
      </c>
      <c r="G154" s="1">
        <v>0</v>
      </c>
      <c r="H154" s="1">
        <v>0</v>
      </c>
      <c r="I154" s="1">
        <v>-5568.9139999999998</v>
      </c>
    </row>
    <row r="155" spans="1:9" hidden="1" x14ac:dyDescent="0.25">
      <c r="A155" s="1" t="s">
        <v>17</v>
      </c>
      <c r="B155" s="1" t="s">
        <v>21</v>
      </c>
      <c r="C155" s="1" t="s">
        <v>10</v>
      </c>
      <c r="D155" s="1">
        <v>0</v>
      </c>
      <c r="E155" s="1">
        <v>-220.97</v>
      </c>
      <c r="F155" s="1">
        <v>0</v>
      </c>
      <c r="G155" s="1">
        <v>0</v>
      </c>
      <c r="H155" s="1">
        <v>0</v>
      </c>
      <c r="I155" s="1">
        <v>-6418.2219999999998</v>
      </c>
    </row>
    <row r="156" spans="1:9" hidden="1" x14ac:dyDescent="0.25">
      <c r="A156" s="1" t="s">
        <v>14</v>
      </c>
      <c r="B156" s="1" t="s">
        <v>9</v>
      </c>
      <c r="C156" s="1" t="s">
        <v>18</v>
      </c>
      <c r="D156" s="1">
        <v>3499.2</v>
      </c>
      <c r="E156" s="1">
        <v>0</v>
      </c>
      <c r="F156" s="1">
        <v>0</v>
      </c>
      <c r="G156" s="1">
        <v>0</v>
      </c>
      <c r="H156" s="1">
        <v>0</v>
      </c>
      <c r="I156" s="1">
        <v>-47239.199999999997</v>
      </c>
    </row>
    <row r="157" spans="1:9" hidden="1" x14ac:dyDescent="0.25">
      <c r="A157" s="1" t="s">
        <v>14</v>
      </c>
      <c r="B157" s="1" t="s">
        <v>9</v>
      </c>
      <c r="C157" s="1" t="s">
        <v>10</v>
      </c>
      <c r="D157" s="1">
        <v>3499.2</v>
      </c>
      <c r="E157" s="1">
        <v>0</v>
      </c>
      <c r="F157" s="1">
        <v>0</v>
      </c>
      <c r="G157" s="1">
        <v>0</v>
      </c>
      <c r="H157" s="1">
        <v>0</v>
      </c>
      <c r="I157" s="1">
        <v>-47239.199999999997</v>
      </c>
    </row>
    <row r="158" spans="1:9" hidden="1" x14ac:dyDescent="0.25">
      <c r="A158" s="1" t="s">
        <v>14</v>
      </c>
      <c r="B158" s="1" t="s">
        <v>19</v>
      </c>
      <c r="C158" s="1" t="s">
        <v>18</v>
      </c>
      <c r="D158" s="1">
        <v>874.8</v>
      </c>
      <c r="E158" s="1">
        <v>0</v>
      </c>
      <c r="F158" s="1">
        <v>0</v>
      </c>
      <c r="G158" s="1">
        <v>0</v>
      </c>
      <c r="H158" s="1">
        <v>0</v>
      </c>
      <c r="I158" s="1">
        <v>-11809.8</v>
      </c>
    </row>
    <row r="159" spans="1:9" x14ac:dyDescent="0.25">
      <c r="A159" s="1" t="s">
        <v>14</v>
      </c>
      <c r="B159" s="1" t="s">
        <v>19</v>
      </c>
      <c r="C159" s="1" t="s">
        <v>10</v>
      </c>
      <c r="D159" s="1">
        <v>874.8</v>
      </c>
      <c r="E159" s="1">
        <v>0</v>
      </c>
      <c r="F159" s="1">
        <v>0</v>
      </c>
      <c r="G159" s="1">
        <v>0</v>
      </c>
      <c r="H159" s="1">
        <v>0</v>
      </c>
      <c r="I159" s="1">
        <v>-11809.8</v>
      </c>
    </row>
    <row r="160" spans="1:9" hidden="1" x14ac:dyDescent="0.25">
      <c r="A160" s="1" t="s">
        <v>14</v>
      </c>
      <c r="B160" s="1" t="s">
        <v>92</v>
      </c>
      <c r="C160" s="1" t="s">
        <v>18</v>
      </c>
      <c r="D160" s="1">
        <v>0</v>
      </c>
      <c r="E160" s="1">
        <v>-226.75</v>
      </c>
      <c r="F160" s="1">
        <v>0</v>
      </c>
      <c r="G160" s="1">
        <v>0</v>
      </c>
      <c r="H160" s="1">
        <v>0</v>
      </c>
      <c r="I160" s="1">
        <v>-6905.9750000000004</v>
      </c>
    </row>
    <row r="161" spans="1:9" hidden="1" x14ac:dyDescent="0.25">
      <c r="A161" s="1" t="s">
        <v>14</v>
      </c>
      <c r="B161" s="1" t="s">
        <v>92</v>
      </c>
      <c r="C161" s="1" t="s">
        <v>10</v>
      </c>
      <c r="D161" s="1">
        <v>0</v>
      </c>
      <c r="E161" s="1">
        <v>-226.75</v>
      </c>
      <c r="F161" s="1">
        <v>0</v>
      </c>
      <c r="G161" s="1">
        <v>0</v>
      </c>
      <c r="H161" s="1">
        <v>0</v>
      </c>
      <c r="I161" s="1">
        <v>-7961.085</v>
      </c>
    </row>
    <row r="162" spans="1:9" hidden="1" x14ac:dyDescent="0.25">
      <c r="A162" s="1" t="s">
        <v>14</v>
      </c>
      <c r="B162" s="1" t="s">
        <v>11</v>
      </c>
      <c r="C162" s="1" t="s">
        <v>18</v>
      </c>
      <c r="D162" s="1">
        <v>0</v>
      </c>
      <c r="E162" s="1">
        <v>187.06</v>
      </c>
      <c r="F162" s="1">
        <v>0</v>
      </c>
      <c r="G162" s="1">
        <v>0</v>
      </c>
      <c r="H162" s="1">
        <v>0</v>
      </c>
      <c r="I162" s="1">
        <v>5294.6890000000003</v>
      </c>
    </row>
    <row r="163" spans="1:9" hidden="1" x14ac:dyDescent="0.25">
      <c r="A163" s="1" t="s">
        <v>14</v>
      </c>
      <c r="B163" s="1" t="s">
        <v>11</v>
      </c>
      <c r="C163" s="1" t="s">
        <v>10</v>
      </c>
      <c r="D163" s="1">
        <v>0</v>
      </c>
      <c r="E163" s="1">
        <v>187.06</v>
      </c>
      <c r="F163" s="1">
        <v>0</v>
      </c>
      <c r="G163" s="1">
        <v>0</v>
      </c>
      <c r="H163" s="1">
        <v>0</v>
      </c>
      <c r="I163" s="1">
        <v>6094.1670000000004</v>
      </c>
    </row>
    <row r="164" spans="1:9" hidden="1" x14ac:dyDescent="0.25">
      <c r="A164" s="1" t="s">
        <v>14</v>
      </c>
      <c r="B164" s="1" t="s">
        <v>12</v>
      </c>
      <c r="C164" s="1" t="s">
        <v>18</v>
      </c>
      <c r="D164" s="1">
        <v>412.56</v>
      </c>
      <c r="E164" s="1">
        <v>0</v>
      </c>
      <c r="F164" s="1">
        <v>0</v>
      </c>
      <c r="G164" s="1">
        <v>0</v>
      </c>
      <c r="H164" s="1">
        <v>0</v>
      </c>
      <c r="I164" s="1">
        <v>-5569.5020000000004</v>
      </c>
    </row>
    <row r="165" spans="1:9" hidden="1" x14ac:dyDescent="0.25">
      <c r="A165" s="1" t="s">
        <v>14</v>
      </c>
      <c r="B165" s="1" t="s">
        <v>12</v>
      </c>
      <c r="C165" s="1" t="s">
        <v>10</v>
      </c>
      <c r="D165" s="1">
        <v>412.56</v>
      </c>
      <c r="E165" s="1">
        <v>0</v>
      </c>
      <c r="F165" s="1">
        <v>0</v>
      </c>
      <c r="G165" s="1">
        <v>0</v>
      </c>
      <c r="H165" s="1">
        <v>0</v>
      </c>
      <c r="I165" s="1">
        <v>-5569.5020000000004</v>
      </c>
    </row>
    <row r="166" spans="1:9" hidden="1" x14ac:dyDescent="0.25">
      <c r="A166" s="1" t="s">
        <v>14</v>
      </c>
      <c r="B166" s="1" t="s">
        <v>13</v>
      </c>
      <c r="C166" s="1" t="s">
        <v>18</v>
      </c>
      <c r="D166" s="1">
        <v>0</v>
      </c>
      <c r="E166" s="1">
        <v>226.76</v>
      </c>
      <c r="F166" s="1">
        <v>0</v>
      </c>
      <c r="G166" s="1">
        <v>0</v>
      </c>
      <c r="H166" s="1">
        <v>0</v>
      </c>
      <c r="I166" s="1">
        <v>6418.2219999999998</v>
      </c>
    </row>
    <row r="167" spans="1:9" hidden="1" x14ac:dyDescent="0.25">
      <c r="A167" s="1" t="s">
        <v>14</v>
      </c>
      <c r="B167" s="1" t="s">
        <v>13</v>
      </c>
      <c r="C167" s="1" t="s">
        <v>10</v>
      </c>
      <c r="D167" s="1">
        <v>0</v>
      </c>
      <c r="E167" s="1">
        <v>226.76</v>
      </c>
      <c r="F167" s="1">
        <v>0</v>
      </c>
      <c r="G167" s="1">
        <v>0</v>
      </c>
      <c r="H167" s="1">
        <v>0</v>
      </c>
      <c r="I167" s="1">
        <v>7387.3490000000002</v>
      </c>
    </row>
    <row r="168" spans="1:9" hidden="1" x14ac:dyDescent="0.25">
      <c r="A168" s="1" t="s">
        <v>14</v>
      </c>
      <c r="B168" s="1" t="s">
        <v>21</v>
      </c>
      <c r="C168" s="1" t="s">
        <v>18</v>
      </c>
      <c r="D168" s="1">
        <v>0</v>
      </c>
      <c r="E168" s="1">
        <v>-226.76</v>
      </c>
      <c r="F168" s="1">
        <v>0</v>
      </c>
      <c r="G168" s="1">
        <v>0</v>
      </c>
      <c r="H168" s="1">
        <v>0</v>
      </c>
      <c r="I168" s="1">
        <v>-6418.2219999999998</v>
      </c>
    </row>
    <row r="169" spans="1:9" hidden="1" x14ac:dyDescent="0.25">
      <c r="A169" s="1" t="s">
        <v>14</v>
      </c>
      <c r="B169" s="1" t="s">
        <v>21</v>
      </c>
      <c r="C169" s="1" t="s">
        <v>10</v>
      </c>
      <c r="D169" s="1">
        <v>0</v>
      </c>
      <c r="E169" s="1">
        <v>-226.76</v>
      </c>
      <c r="F169" s="1">
        <v>0</v>
      </c>
      <c r="G169" s="1">
        <v>0</v>
      </c>
      <c r="H169" s="1">
        <v>0</v>
      </c>
      <c r="I169" s="1">
        <v>-7387.3490000000002</v>
      </c>
    </row>
  </sheetData>
  <autoFilter ref="A1:I169">
    <filterColumn colId="1">
      <filters>
        <filter val="L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 filterMode="1"/>
  <dimension ref="A1:I169"/>
  <sheetViews>
    <sheetView workbookViewId="0">
      <selection sqref="A1:I169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29</v>
      </c>
      <c r="B2" s="1" t="s">
        <v>9</v>
      </c>
      <c r="C2" s="1" t="s">
        <v>18</v>
      </c>
      <c r="D2" s="1">
        <v>291.60000000000002</v>
      </c>
      <c r="E2" s="1">
        <v>0</v>
      </c>
      <c r="F2" s="1">
        <v>0</v>
      </c>
      <c r="G2" s="1">
        <v>0</v>
      </c>
      <c r="H2" s="1">
        <v>0</v>
      </c>
      <c r="I2" s="1">
        <v>-3936.6</v>
      </c>
    </row>
    <row r="3" spans="1:9" hidden="1" x14ac:dyDescent="0.25">
      <c r="A3" s="1" t="s">
        <v>29</v>
      </c>
      <c r="B3" s="1" t="s">
        <v>9</v>
      </c>
      <c r="C3" s="1" t="s">
        <v>10</v>
      </c>
      <c r="D3" s="1">
        <v>291.60000000000002</v>
      </c>
      <c r="E3" s="1">
        <v>0</v>
      </c>
      <c r="F3" s="1">
        <v>0</v>
      </c>
      <c r="G3" s="1">
        <v>0</v>
      </c>
      <c r="H3" s="1">
        <v>0</v>
      </c>
      <c r="I3" s="1">
        <v>-3936.6</v>
      </c>
    </row>
    <row r="4" spans="1:9" hidden="1" x14ac:dyDescent="0.25">
      <c r="A4" s="1" t="s">
        <v>29</v>
      </c>
      <c r="B4" s="1" t="s">
        <v>19</v>
      </c>
      <c r="C4" s="1" t="s">
        <v>18</v>
      </c>
      <c r="D4" s="1">
        <v>72.900000000000006</v>
      </c>
      <c r="E4" s="1">
        <v>0</v>
      </c>
      <c r="F4" s="1">
        <v>0</v>
      </c>
      <c r="G4" s="1">
        <v>0</v>
      </c>
      <c r="H4" s="1">
        <v>0</v>
      </c>
      <c r="I4" s="1">
        <v>-984.15</v>
      </c>
    </row>
    <row r="5" spans="1:9" hidden="1" x14ac:dyDescent="0.25">
      <c r="A5" s="1" t="s">
        <v>29</v>
      </c>
      <c r="B5" s="1" t="s">
        <v>19</v>
      </c>
      <c r="C5" s="1" t="s">
        <v>10</v>
      </c>
      <c r="D5" s="1">
        <v>72.900000000000006</v>
      </c>
      <c r="E5" s="1">
        <v>0</v>
      </c>
      <c r="F5" s="1">
        <v>0</v>
      </c>
      <c r="G5" s="1">
        <v>0</v>
      </c>
      <c r="H5" s="1">
        <v>0</v>
      </c>
      <c r="I5" s="1">
        <v>-984.15</v>
      </c>
    </row>
    <row r="6" spans="1:9" hidden="1" x14ac:dyDescent="0.25">
      <c r="A6" s="1" t="s">
        <v>29</v>
      </c>
      <c r="B6" s="1" t="s">
        <v>92</v>
      </c>
      <c r="C6" s="1" t="s">
        <v>18</v>
      </c>
      <c r="D6" s="1">
        <v>0</v>
      </c>
      <c r="E6" s="1">
        <v>-34.58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29</v>
      </c>
      <c r="B7" s="1" t="s">
        <v>92</v>
      </c>
      <c r="C7" s="1" t="s">
        <v>10</v>
      </c>
      <c r="D7" s="1">
        <v>0</v>
      </c>
      <c r="E7" s="1">
        <v>-34.58</v>
      </c>
      <c r="F7" s="1">
        <v>0</v>
      </c>
      <c r="G7" s="1">
        <v>0</v>
      </c>
      <c r="H7" s="1">
        <v>0</v>
      </c>
      <c r="I7" s="1">
        <v>-139.57</v>
      </c>
    </row>
    <row r="8" spans="1:9" hidden="1" x14ac:dyDescent="0.25">
      <c r="A8" s="1" t="s">
        <v>29</v>
      </c>
      <c r="B8" s="1" t="s">
        <v>11</v>
      </c>
      <c r="C8" s="1" t="s">
        <v>18</v>
      </c>
      <c r="D8" s="1">
        <v>0</v>
      </c>
      <c r="E8" s="1">
        <v>38.51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29</v>
      </c>
      <c r="B9" s="1" t="s">
        <v>11</v>
      </c>
      <c r="C9" s="1" t="s">
        <v>10</v>
      </c>
      <c r="D9" s="1">
        <v>0</v>
      </c>
      <c r="E9" s="1">
        <v>38.51</v>
      </c>
      <c r="F9" s="1">
        <v>0</v>
      </c>
      <c r="G9" s="1">
        <v>0</v>
      </c>
      <c r="H9" s="1">
        <v>0</v>
      </c>
      <c r="I9" s="1">
        <v>155.20699999999999</v>
      </c>
    </row>
    <row r="10" spans="1:9" hidden="1" x14ac:dyDescent="0.25">
      <c r="A10" s="1" t="s">
        <v>29</v>
      </c>
      <c r="B10" s="1" t="s">
        <v>12</v>
      </c>
      <c r="C10" s="1" t="s">
        <v>18</v>
      </c>
      <c r="D10" s="1">
        <v>34.380000000000003</v>
      </c>
      <c r="E10" s="1">
        <v>0</v>
      </c>
      <c r="F10" s="1">
        <v>0</v>
      </c>
      <c r="G10" s="1">
        <v>0</v>
      </c>
      <c r="H10" s="1">
        <v>0</v>
      </c>
      <c r="I10" s="1">
        <v>-464.125</v>
      </c>
    </row>
    <row r="11" spans="1:9" hidden="1" x14ac:dyDescent="0.25">
      <c r="A11" s="1" t="s">
        <v>29</v>
      </c>
      <c r="B11" s="1" t="s">
        <v>12</v>
      </c>
      <c r="C11" s="1" t="s">
        <v>10</v>
      </c>
      <c r="D11" s="1">
        <v>34.380000000000003</v>
      </c>
      <c r="E11" s="1">
        <v>0</v>
      </c>
      <c r="F11" s="1">
        <v>0</v>
      </c>
      <c r="G11" s="1">
        <v>0</v>
      </c>
      <c r="H11" s="1">
        <v>0</v>
      </c>
      <c r="I11" s="1">
        <v>-464.125</v>
      </c>
    </row>
    <row r="12" spans="1:9" hidden="1" x14ac:dyDescent="0.25">
      <c r="A12" s="1" t="s">
        <v>29</v>
      </c>
      <c r="B12" s="1" t="s">
        <v>13</v>
      </c>
      <c r="C12" s="1" t="s">
        <v>18</v>
      </c>
      <c r="D12" s="1">
        <v>0</v>
      </c>
      <c r="E12" s="1">
        <v>46.69</v>
      </c>
      <c r="F12" s="1">
        <v>0</v>
      </c>
      <c r="G12" s="1">
        <v>0</v>
      </c>
      <c r="H12" s="1">
        <v>0</v>
      </c>
      <c r="I12" s="1">
        <v>0</v>
      </c>
    </row>
    <row r="13" spans="1:9" hidden="1" x14ac:dyDescent="0.25">
      <c r="A13" s="1" t="s">
        <v>29</v>
      </c>
      <c r="B13" s="1" t="s">
        <v>13</v>
      </c>
      <c r="C13" s="1" t="s">
        <v>10</v>
      </c>
      <c r="D13" s="1">
        <v>0</v>
      </c>
      <c r="E13" s="1">
        <v>46.69</v>
      </c>
      <c r="F13" s="1">
        <v>0</v>
      </c>
      <c r="G13" s="1">
        <v>0</v>
      </c>
      <c r="H13" s="1">
        <v>0</v>
      </c>
      <c r="I13" s="1">
        <v>188.14099999999999</v>
      </c>
    </row>
    <row r="14" spans="1:9" hidden="1" x14ac:dyDescent="0.25">
      <c r="A14" s="1" t="s">
        <v>29</v>
      </c>
      <c r="B14" s="1" t="s">
        <v>21</v>
      </c>
      <c r="C14" s="1" t="s">
        <v>18</v>
      </c>
      <c r="D14" s="1">
        <v>0</v>
      </c>
      <c r="E14" s="1">
        <v>-46.69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29</v>
      </c>
      <c r="B15" s="1" t="s">
        <v>21</v>
      </c>
      <c r="C15" s="1" t="s">
        <v>10</v>
      </c>
      <c r="D15" s="1">
        <v>0</v>
      </c>
      <c r="E15" s="1">
        <v>-46.69</v>
      </c>
      <c r="F15" s="1">
        <v>0</v>
      </c>
      <c r="G15" s="1">
        <v>0</v>
      </c>
      <c r="H15" s="1">
        <v>0</v>
      </c>
      <c r="I15" s="1">
        <v>-188.14099999999999</v>
      </c>
    </row>
    <row r="16" spans="1:9" hidden="1" x14ac:dyDescent="0.25">
      <c r="A16" s="1" t="s">
        <v>137</v>
      </c>
      <c r="B16" s="1" t="s">
        <v>9</v>
      </c>
      <c r="C16" s="1" t="s">
        <v>18</v>
      </c>
      <c r="D16" s="1">
        <v>583.20000000000005</v>
      </c>
      <c r="E16" s="1">
        <v>0</v>
      </c>
      <c r="F16" s="1">
        <v>0</v>
      </c>
      <c r="G16" s="1">
        <v>0</v>
      </c>
      <c r="H16" s="1">
        <v>0</v>
      </c>
      <c r="I16" s="1">
        <v>-7873.2</v>
      </c>
    </row>
    <row r="17" spans="1:9" hidden="1" x14ac:dyDescent="0.25">
      <c r="A17" s="1" t="s">
        <v>137</v>
      </c>
      <c r="B17" s="1" t="s">
        <v>9</v>
      </c>
      <c r="C17" s="1" t="s">
        <v>10</v>
      </c>
      <c r="D17" s="1">
        <v>583.20000000000005</v>
      </c>
      <c r="E17" s="1">
        <v>0</v>
      </c>
      <c r="F17" s="1">
        <v>0</v>
      </c>
      <c r="G17" s="1">
        <v>0</v>
      </c>
      <c r="H17" s="1">
        <v>0</v>
      </c>
      <c r="I17" s="1">
        <v>-7873.2</v>
      </c>
    </row>
    <row r="18" spans="1:9" hidden="1" x14ac:dyDescent="0.25">
      <c r="A18" s="1" t="s">
        <v>137</v>
      </c>
      <c r="B18" s="1" t="s">
        <v>19</v>
      </c>
      <c r="C18" s="1" t="s">
        <v>18</v>
      </c>
      <c r="D18" s="1">
        <v>145.80000000000001</v>
      </c>
      <c r="E18" s="1">
        <v>0</v>
      </c>
      <c r="F18" s="1">
        <v>0</v>
      </c>
      <c r="G18" s="1">
        <v>0</v>
      </c>
      <c r="H18" s="1">
        <v>0</v>
      </c>
      <c r="I18" s="1">
        <v>-1968.3</v>
      </c>
    </row>
    <row r="19" spans="1:9" hidden="1" x14ac:dyDescent="0.25">
      <c r="A19" s="1" t="s">
        <v>137</v>
      </c>
      <c r="B19" s="1" t="s">
        <v>19</v>
      </c>
      <c r="C19" s="1" t="s">
        <v>10</v>
      </c>
      <c r="D19" s="1">
        <v>145.80000000000001</v>
      </c>
      <c r="E19" s="1">
        <v>0</v>
      </c>
      <c r="F19" s="1">
        <v>0</v>
      </c>
      <c r="G19" s="1">
        <v>0</v>
      </c>
      <c r="H19" s="1">
        <v>0</v>
      </c>
      <c r="I19" s="1">
        <v>-1968.3</v>
      </c>
    </row>
    <row r="20" spans="1:9" hidden="1" x14ac:dyDescent="0.25">
      <c r="A20" s="1" t="s">
        <v>137</v>
      </c>
      <c r="B20" s="1" t="s">
        <v>92</v>
      </c>
      <c r="C20" s="1" t="s">
        <v>18</v>
      </c>
      <c r="D20" s="1">
        <v>0</v>
      </c>
      <c r="E20" s="1">
        <v>-66.31</v>
      </c>
      <c r="F20" s="1">
        <v>0</v>
      </c>
      <c r="G20" s="1">
        <v>0</v>
      </c>
      <c r="H20" s="1">
        <v>0</v>
      </c>
      <c r="I20" s="1">
        <v>-139.57</v>
      </c>
    </row>
    <row r="21" spans="1:9" hidden="1" x14ac:dyDescent="0.25">
      <c r="A21" s="1" t="s">
        <v>137</v>
      </c>
      <c r="B21" s="1" t="s">
        <v>92</v>
      </c>
      <c r="C21" s="1" t="s">
        <v>10</v>
      </c>
      <c r="D21" s="1">
        <v>0</v>
      </c>
      <c r="E21" s="1">
        <v>-66.31</v>
      </c>
      <c r="F21" s="1">
        <v>0</v>
      </c>
      <c r="G21" s="1">
        <v>0</v>
      </c>
      <c r="H21" s="1">
        <v>0</v>
      </c>
      <c r="I21" s="1">
        <v>-408.779</v>
      </c>
    </row>
    <row r="22" spans="1:9" hidden="1" x14ac:dyDescent="0.25">
      <c r="A22" s="1" t="s">
        <v>137</v>
      </c>
      <c r="B22" s="1" t="s">
        <v>11</v>
      </c>
      <c r="C22" s="1" t="s">
        <v>18</v>
      </c>
      <c r="D22" s="1">
        <v>0</v>
      </c>
      <c r="E22" s="1">
        <v>65.52</v>
      </c>
      <c r="F22" s="1">
        <v>0</v>
      </c>
      <c r="G22" s="1">
        <v>0</v>
      </c>
      <c r="H22" s="1">
        <v>0</v>
      </c>
      <c r="I22" s="1">
        <v>155.20699999999999</v>
      </c>
    </row>
    <row r="23" spans="1:9" hidden="1" x14ac:dyDescent="0.25">
      <c r="A23" s="1" t="s">
        <v>137</v>
      </c>
      <c r="B23" s="1" t="s">
        <v>11</v>
      </c>
      <c r="C23" s="1" t="s">
        <v>10</v>
      </c>
      <c r="D23" s="1">
        <v>0</v>
      </c>
      <c r="E23" s="1">
        <v>65.52</v>
      </c>
      <c r="F23" s="1">
        <v>0</v>
      </c>
      <c r="G23" s="1">
        <v>0</v>
      </c>
      <c r="H23" s="1">
        <v>0</v>
      </c>
      <c r="I23" s="1">
        <v>415.81700000000001</v>
      </c>
    </row>
    <row r="24" spans="1:9" hidden="1" x14ac:dyDescent="0.25">
      <c r="A24" s="1" t="s">
        <v>137</v>
      </c>
      <c r="B24" s="1" t="s">
        <v>12</v>
      </c>
      <c r="C24" s="1" t="s">
        <v>18</v>
      </c>
      <c r="D24" s="1">
        <v>68.760000000000005</v>
      </c>
      <c r="E24" s="1">
        <v>0</v>
      </c>
      <c r="F24" s="1">
        <v>0</v>
      </c>
      <c r="G24" s="1">
        <v>0</v>
      </c>
      <c r="H24" s="1">
        <v>0</v>
      </c>
      <c r="I24" s="1">
        <v>-928.25</v>
      </c>
    </row>
    <row r="25" spans="1:9" hidden="1" x14ac:dyDescent="0.25">
      <c r="A25" s="1" t="s">
        <v>137</v>
      </c>
      <c r="B25" s="1" t="s">
        <v>12</v>
      </c>
      <c r="C25" s="1" t="s">
        <v>10</v>
      </c>
      <c r="D25" s="1">
        <v>68.760000000000005</v>
      </c>
      <c r="E25" s="1">
        <v>0</v>
      </c>
      <c r="F25" s="1">
        <v>0</v>
      </c>
      <c r="G25" s="1">
        <v>0</v>
      </c>
      <c r="H25" s="1">
        <v>0</v>
      </c>
      <c r="I25" s="1">
        <v>-928.25</v>
      </c>
    </row>
    <row r="26" spans="1:9" hidden="1" x14ac:dyDescent="0.25">
      <c r="A26" s="1" t="s">
        <v>137</v>
      </c>
      <c r="B26" s="1" t="s">
        <v>13</v>
      </c>
      <c r="C26" s="1" t="s">
        <v>18</v>
      </c>
      <c r="D26" s="1">
        <v>0</v>
      </c>
      <c r="E26" s="1">
        <v>79.42</v>
      </c>
      <c r="F26" s="1">
        <v>0</v>
      </c>
      <c r="G26" s="1">
        <v>0</v>
      </c>
      <c r="H26" s="1">
        <v>0</v>
      </c>
      <c r="I26" s="1">
        <v>188.14099999999999</v>
      </c>
    </row>
    <row r="27" spans="1:9" hidden="1" x14ac:dyDescent="0.25">
      <c r="A27" s="1" t="s">
        <v>137</v>
      </c>
      <c r="B27" s="1" t="s">
        <v>13</v>
      </c>
      <c r="C27" s="1" t="s">
        <v>10</v>
      </c>
      <c r="D27" s="1">
        <v>0</v>
      </c>
      <c r="E27" s="1">
        <v>79.42</v>
      </c>
      <c r="F27" s="1">
        <v>0</v>
      </c>
      <c r="G27" s="1">
        <v>0</v>
      </c>
      <c r="H27" s="1">
        <v>0</v>
      </c>
      <c r="I27" s="1">
        <v>504.053</v>
      </c>
    </row>
    <row r="28" spans="1:9" hidden="1" x14ac:dyDescent="0.25">
      <c r="A28" s="1" t="s">
        <v>137</v>
      </c>
      <c r="B28" s="1" t="s">
        <v>21</v>
      </c>
      <c r="C28" s="1" t="s">
        <v>18</v>
      </c>
      <c r="D28" s="1">
        <v>0</v>
      </c>
      <c r="E28" s="1">
        <v>-79.42</v>
      </c>
      <c r="F28" s="1">
        <v>0</v>
      </c>
      <c r="G28" s="1">
        <v>0</v>
      </c>
      <c r="H28" s="1">
        <v>0</v>
      </c>
      <c r="I28" s="1">
        <v>-188.14099999999999</v>
      </c>
    </row>
    <row r="29" spans="1:9" hidden="1" x14ac:dyDescent="0.25">
      <c r="A29" s="1" t="s">
        <v>137</v>
      </c>
      <c r="B29" s="1" t="s">
        <v>21</v>
      </c>
      <c r="C29" s="1" t="s">
        <v>10</v>
      </c>
      <c r="D29" s="1">
        <v>0</v>
      </c>
      <c r="E29" s="1">
        <v>-79.42</v>
      </c>
      <c r="F29" s="1">
        <v>0</v>
      </c>
      <c r="G29" s="1">
        <v>0</v>
      </c>
      <c r="H29" s="1">
        <v>0</v>
      </c>
      <c r="I29" s="1">
        <v>-504.053</v>
      </c>
    </row>
    <row r="30" spans="1:9" hidden="1" x14ac:dyDescent="0.25">
      <c r="A30" s="1" t="s">
        <v>138</v>
      </c>
      <c r="B30" s="1" t="s">
        <v>9</v>
      </c>
      <c r="C30" s="1" t="s">
        <v>18</v>
      </c>
      <c r="D30" s="1">
        <v>874.8</v>
      </c>
      <c r="E30" s="1">
        <v>0</v>
      </c>
      <c r="F30" s="1">
        <v>0</v>
      </c>
      <c r="G30" s="1">
        <v>0</v>
      </c>
      <c r="H30" s="1">
        <v>0</v>
      </c>
      <c r="I30" s="1">
        <v>-11809.8</v>
      </c>
    </row>
    <row r="31" spans="1:9" hidden="1" x14ac:dyDescent="0.25">
      <c r="A31" s="1" t="s">
        <v>138</v>
      </c>
      <c r="B31" s="1" t="s">
        <v>9</v>
      </c>
      <c r="C31" s="1" t="s">
        <v>10</v>
      </c>
      <c r="D31" s="1">
        <v>874.8</v>
      </c>
      <c r="E31" s="1">
        <v>0</v>
      </c>
      <c r="F31" s="1">
        <v>0</v>
      </c>
      <c r="G31" s="1">
        <v>0</v>
      </c>
      <c r="H31" s="1">
        <v>0</v>
      </c>
      <c r="I31" s="1">
        <v>-11809.8</v>
      </c>
    </row>
    <row r="32" spans="1:9" hidden="1" x14ac:dyDescent="0.25">
      <c r="A32" s="1" t="s">
        <v>138</v>
      </c>
      <c r="B32" s="1" t="s">
        <v>19</v>
      </c>
      <c r="C32" s="1" t="s">
        <v>18</v>
      </c>
      <c r="D32" s="1">
        <v>218.7</v>
      </c>
      <c r="E32" s="1">
        <v>0</v>
      </c>
      <c r="F32" s="1">
        <v>0</v>
      </c>
      <c r="G32" s="1">
        <v>0</v>
      </c>
      <c r="H32" s="1">
        <v>0</v>
      </c>
      <c r="I32" s="1">
        <v>-2952.45</v>
      </c>
    </row>
    <row r="33" spans="1:9" hidden="1" x14ac:dyDescent="0.25">
      <c r="A33" s="1" t="s">
        <v>138</v>
      </c>
      <c r="B33" s="1" t="s">
        <v>19</v>
      </c>
      <c r="C33" s="1" t="s">
        <v>10</v>
      </c>
      <c r="D33" s="1">
        <v>218.7</v>
      </c>
      <c r="E33" s="1">
        <v>0</v>
      </c>
      <c r="F33" s="1">
        <v>0</v>
      </c>
      <c r="G33" s="1">
        <v>0</v>
      </c>
      <c r="H33" s="1">
        <v>0</v>
      </c>
      <c r="I33" s="1">
        <v>-2952.45</v>
      </c>
    </row>
    <row r="34" spans="1:9" hidden="1" x14ac:dyDescent="0.25">
      <c r="A34" s="1" t="s">
        <v>138</v>
      </c>
      <c r="B34" s="1" t="s">
        <v>92</v>
      </c>
      <c r="C34" s="1" t="s">
        <v>18</v>
      </c>
      <c r="D34" s="1">
        <v>0</v>
      </c>
      <c r="E34" s="1">
        <v>-95.19</v>
      </c>
      <c r="F34" s="1">
        <v>0</v>
      </c>
      <c r="G34" s="1">
        <v>0</v>
      </c>
      <c r="H34" s="1">
        <v>0</v>
      </c>
      <c r="I34" s="1">
        <v>-408.779</v>
      </c>
    </row>
    <row r="35" spans="1:9" hidden="1" x14ac:dyDescent="0.25">
      <c r="A35" s="1" t="s">
        <v>138</v>
      </c>
      <c r="B35" s="1" t="s">
        <v>92</v>
      </c>
      <c r="C35" s="1" t="s">
        <v>10</v>
      </c>
      <c r="D35" s="1">
        <v>0</v>
      </c>
      <c r="E35" s="1">
        <v>-95.19</v>
      </c>
      <c r="F35" s="1">
        <v>0</v>
      </c>
      <c r="G35" s="1">
        <v>0</v>
      </c>
      <c r="H35" s="1">
        <v>0</v>
      </c>
      <c r="I35" s="1">
        <v>-797.76599999999996</v>
      </c>
    </row>
    <row r="36" spans="1:9" hidden="1" x14ac:dyDescent="0.25">
      <c r="A36" s="1" t="s">
        <v>138</v>
      </c>
      <c r="B36" s="1" t="s">
        <v>11</v>
      </c>
      <c r="C36" s="1" t="s">
        <v>18</v>
      </c>
      <c r="D36" s="1">
        <v>0</v>
      </c>
      <c r="E36" s="1">
        <v>86.41</v>
      </c>
      <c r="F36" s="1">
        <v>0</v>
      </c>
      <c r="G36" s="1">
        <v>0</v>
      </c>
      <c r="H36" s="1">
        <v>0</v>
      </c>
      <c r="I36" s="1">
        <v>415.81700000000001</v>
      </c>
    </row>
    <row r="37" spans="1:9" hidden="1" x14ac:dyDescent="0.25">
      <c r="A37" s="1" t="s">
        <v>138</v>
      </c>
      <c r="B37" s="1" t="s">
        <v>11</v>
      </c>
      <c r="C37" s="1" t="s">
        <v>10</v>
      </c>
      <c r="D37" s="1">
        <v>0</v>
      </c>
      <c r="E37" s="1">
        <v>86.41</v>
      </c>
      <c r="F37" s="1">
        <v>0</v>
      </c>
      <c r="G37" s="1">
        <v>0</v>
      </c>
      <c r="H37" s="1">
        <v>0</v>
      </c>
      <c r="I37" s="1">
        <v>756.31600000000003</v>
      </c>
    </row>
    <row r="38" spans="1:9" hidden="1" x14ac:dyDescent="0.25">
      <c r="A38" s="1" t="s">
        <v>138</v>
      </c>
      <c r="B38" s="1" t="s">
        <v>12</v>
      </c>
      <c r="C38" s="1" t="s">
        <v>18</v>
      </c>
      <c r="D38" s="1">
        <v>103.14</v>
      </c>
      <c r="E38" s="1">
        <v>0</v>
      </c>
      <c r="F38" s="1">
        <v>0</v>
      </c>
      <c r="G38" s="1">
        <v>0</v>
      </c>
      <c r="H38" s="1">
        <v>0</v>
      </c>
      <c r="I38" s="1">
        <v>-1392.375</v>
      </c>
    </row>
    <row r="39" spans="1:9" hidden="1" x14ac:dyDescent="0.25">
      <c r="A39" s="1" t="s">
        <v>138</v>
      </c>
      <c r="B39" s="1" t="s">
        <v>12</v>
      </c>
      <c r="C39" s="1" t="s">
        <v>10</v>
      </c>
      <c r="D39" s="1">
        <v>103.14</v>
      </c>
      <c r="E39" s="1">
        <v>0</v>
      </c>
      <c r="F39" s="1">
        <v>0</v>
      </c>
      <c r="G39" s="1">
        <v>0</v>
      </c>
      <c r="H39" s="1">
        <v>0</v>
      </c>
      <c r="I39" s="1">
        <v>-1392.375</v>
      </c>
    </row>
    <row r="40" spans="1:9" hidden="1" x14ac:dyDescent="0.25">
      <c r="A40" s="1" t="s">
        <v>138</v>
      </c>
      <c r="B40" s="1" t="s">
        <v>13</v>
      </c>
      <c r="C40" s="1" t="s">
        <v>18</v>
      </c>
      <c r="D40" s="1">
        <v>0</v>
      </c>
      <c r="E40" s="1">
        <v>104.75</v>
      </c>
      <c r="F40" s="1">
        <v>0</v>
      </c>
      <c r="G40" s="1">
        <v>0</v>
      </c>
      <c r="H40" s="1">
        <v>0</v>
      </c>
      <c r="I40" s="1">
        <v>504.053</v>
      </c>
    </row>
    <row r="41" spans="1:9" hidden="1" x14ac:dyDescent="0.25">
      <c r="A41" s="1" t="s">
        <v>138</v>
      </c>
      <c r="B41" s="1" t="s">
        <v>13</v>
      </c>
      <c r="C41" s="1" t="s">
        <v>10</v>
      </c>
      <c r="D41" s="1">
        <v>0</v>
      </c>
      <c r="E41" s="1">
        <v>104.75</v>
      </c>
      <c r="F41" s="1">
        <v>0</v>
      </c>
      <c r="G41" s="1">
        <v>0</v>
      </c>
      <c r="H41" s="1">
        <v>0</v>
      </c>
      <c r="I41" s="1">
        <v>916.80600000000004</v>
      </c>
    </row>
    <row r="42" spans="1:9" hidden="1" x14ac:dyDescent="0.25">
      <c r="A42" s="1" t="s">
        <v>138</v>
      </c>
      <c r="B42" s="1" t="s">
        <v>21</v>
      </c>
      <c r="C42" s="1" t="s">
        <v>18</v>
      </c>
      <c r="D42" s="1">
        <v>0</v>
      </c>
      <c r="E42" s="1">
        <v>-104.75</v>
      </c>
      <c r="F42" s="1">
        <v>0</v>
      </c>
      <c r="G42" s="1">
        <v>0</v>
      </c>
      <c r="H42" s="1">
        <v>0</v>
      </c>
      <c r="I42" s="1">
        <v>-504.053</v>
      </c>
    </row>
    <row r="43" spans="1:9" hidden="1" x14ac:dyDescent="0.25">
      <c r="A43" s="1" t="s">
        <v>138</v>
      </c>
      <c r="B43" s="1" t="s">
        <v>21</v>
      </c>
      <c r="C43" s="1" t="s">
        <v>10</v>
      </c>
      <c r="D43" s="1">
        <v>0</v>
      </c>
      <c r="E43" s="1">
        <v>-104.75</v>
      </c>
      <c r="F43" s="1">
        <v>0</v>
      </c>
      <c r="G43" s="1">
        <v>0</v>
      </c>
      <c r="H43" s="1">
        <v>0</v>
      </c>
      <c r="I43" s="1">
        <v>-916.80600000000004</v>
      </c>
    </row>
    <row r="44" spans="1:9" hidden="1" x14ac:dyDescent="0.25">
      <c r="A44" s="1" t="s">
        <v>139</v>
      </c>
      <c r="B44" s="1" t="s">
        <v>9</v>
      </c>
      <c r="C44" s="1" t="s">
        <v>18</v>
      </c>
      <c r="D44" s="1">
        <v>1166.4000000000001</v>
      </c>
      <c r="E44" s="1">
        <v>0</v>
      </c>
      <c r="F44" s="1">
        <v>0</v>
      </c>
      <c r="G44" s="1">
        <v>0</v>
      </c>
      <c r="H44" s="1">
        <v>0</v>
      </c>
      <c r="I44" s="1">
        <v>-15746.4</v>
      </c>
    </row>
    <row r="45" spans="1:9" hidden="1" x14ac:dyDescent="0.25">
      <c r="A45" s="1" t="s">
        <v>139</v>
      </c>
      <c r="B45" s="1" t="s">
        <v>9</v>
      </c>
      <c r="C45" s="1" t="s">
        <v>10</v>
      </c>
      <c r="D45" s="1">
        <v>1166.4000000000001</v>
      </c>
      <c r="E45" s="1">
        <v>0</v>
      </c>
      <c r="F45" s="1">
        <v>0</v>
      </c>
      <c r="G45" s="1">
        <v>0</v>
      </c>
      <c r="H45" s="1">
        <v>0</v>
      </c>
      <c r="I45" s="1">
        <v>-15746.4</v>
      </c>
    </row>
    <row r="46" spans="1:9" hidden="1" x14ac:dyDescent="0.25">
      <c r="A46" s="1" t="s">
        <v>139</v>
      </c>
      <c r="B46" s="1" t="s">
        <v>19</v>
      </c>
      <c r="C46" s="1" t="s">
        <v>18</v>
      </c>
      <c r="D46" s="1">
        <v>291.60000000000002</v>
      </c>
      <c r="E46" s="1">
        <v>0</v>
      </c>
      <c r="F46" s="1">
        <v>0</v>
      </c>
      <c r="G46" s="1">
        <v>0</v>
      </c>
      <c r="H46" s="1">
        <v>0</v>
      </c>
      <c r="I46" s="1">
        <v>-3936.6</v>
      </c>
    </row>
    <row r="47" spans="1:9" hidden="1" x14ac:dyDescent="0.25">
      <c r="A47" s="1" t="s">
        <v>139</v>
      </c>
      <c r="B47" s="1" t="s">
        <v>19</v>
      </c>
      <c r="C47" s="1" t="s">
        <v>10</v>
      </c>
      <c r="D47" s="1">
        <v>291.60000000000002</v>
      </c>
      <c r="E47" s="1">
        <v>0</v>
      </c>
      <c r="F47" s="1">
        <v>0</v>
      </c>
      <c r="G47" s="1">
        <v>0</v>
      </c>
      <c r="H47" s="1">
        <v>0</v>
      </c>
      <c r="I47" s="1">
        <v>-3936.6</v>
      </c>
    </row>
    <row r="48" spans="1:9" hidden="1" x14ac:dyDescent="0.25">
      <c r="A48" s="1" t="s">
        <v>139</v>
      </c>
      <c r="B48" s="1" t="s">
        <v>92</v>
      </c>
      <c r="C48" s="1" t="s">
        <v>18</v>
      </c>
      <c r="D48" s="1">
        <v>0</v>
      </c>
      <c r="E48" s="1">
        <v>-121.22</v>
      </c>
      <c r="F48" s="1">
        <v>0</v>
      </c>
      <c r="G48" s="1">
        <v>0</v>
      </c>
      <c r="H48" s="1">
        <v>0</v>
      </c>
      <c r="I48" s="1">
        <v>-797.76599999999996</v>
      </c>
    </row>
    <row r="49" spans="1:9" hidden="1" x14ac:dyDescent="0.25">
      <c r="A49" s="1" t="s">
        <v>139</v>
      </c>
      <c r="B49" s="1" t="s">
        <v>92</v>
      </c>
      <c r="C49" s="1" t="s">
        <v>10</v>
      </c>
      <c r="D49" s="1">
        <v>0</v>
      </c>
      <c r="E49" s="1">
        <v>-121.22</v>
      </c>
      <c r="F49" s="1">
        <v>0</v>
      </c>
      <c r="G49" s="1">
        <v>0</v>
      </c>
      <c r="H49" s="1">
        <v>0</v>
      </c>
      <c r="I49" s="1">
        <v>-1296.4269999999999</v>
      </c>
    </row>
    <row r="50" spans="1:9" hidden="1" x14ac:dyDescent="0.25">
      <c r="A50" s="1" t="s">
        <v>139</v>
      </c>
      <c r="B50" s="1" t="s">
        <v>11</v>
      </c>
      <c r="C50" s="1" t="s">
        <v>18</v>
      </c>
      <c r="D50" s="1">
        <v>0</v>
      </c>
      <c r="E50" s="1">
        <v>103.68</v>
      </c>
      <c r="F50" s="1">
        <v>0</v>
      </c>
      <c r="G50" s="1">
        <v>0</v>
      </c>
      <c r="H50" s="1">
        <v>0</v>
      </c>
      <c r="I50" s="1">
        <v>756.31600000000003</v>
      </c>
    </row>
    <row r="51" spans="1:9" hidden="1" x14ac:dyDescent="0.25">
      <c r="A51" s="1" t="s">
        <v>139</v>
      </c>
      <c r="B51" s="1" t="s">
        <v>11</v>
      </c>
      <c r="C51" s="1" t="s">
        <v>10</v>
      </c>
      <c r="D51" s="1">
        <v>0</v>
      </c>
      <c r="E51" s="1">
        <v>103.68</v>
      </c>
      <c r="F51" s="1">
        <v>0</v>
      </c>
      <c r="G51" s="1">
        <v>0</v>
      </c>
      <c r="H51" s="1">
        <v>0</v>
      </c>
      <c r="I51" s="1">
        <v>1161.509</v>
      </c>
    </row>
    <row r="52" spans="1:9" hidden="1" x14ac:dyDescent="0.25">
      <c r="A52" s="1" t="s">
        <v>139</v>
      </c>
      <c r="B52" s="1" t="s">
        <v>12</v>
      </c>
      <c r="C52" s="1" t="s">
        <v>18</v>
      </c>
      <c r="D52" s="1">
        <v>137.52000000000001</v>
      </c>
      <c r="E52" s="1">
        <v>0</v>
      </c>
      <c r="F52" s="1">
        <v>0</v>
      </c>
      <c r="G52" s="1">
        <v>0</v>
      </c>
      <c r="H52" s="1">
        <v>0</v>
      </c>
      <c r="I52" s="1">
        <v>-1856.501</v>
      </c>
    </row>
    <row r="53" spans="1:9" hidden="1" x14ac:dyDescent="0.25">
      <c r="A53" s="1" t="s">
        <v>139</v>
      </c>
      <c r="B53" s="1" t="s">
        <v>12</v>
      </c>
      <c r="C53" s="1" t="s">
        <v>10</v>
      </c>
      <c r="D53" s="1">
        <v>137.52000000000001</v>
      </c>
      <c r="E53" s="1">
        <v>0</v>
      </c>
      <c r="F53" s="1">
        <v>0</v>
      </c>
      <c r="G53" s="1">
        <v>0</v>
      </c>
      <c r="H53" s="1">
        <v>0</v>
      </c>
      <c r="I53" s="1">
        <v>-1856.501</v>
      </c>
    </row>
    <row r="54" spans="1:9" hidden="1" x14ac:dyDescent="0.25">
      <c r="A54" s="1" t="s">
        <v>139</v>
      </c>
      <c r="B54" s="1" t="s">
        <v>13</v>
      </c>
      <c r="C54" s="1" t="s">
        <v>18</v>
      </c>
      <c r="D54" s="1">
        <v>0</v>
      </c>
      <c r="E54" s="1">
        <v>125.68</v>
      </c>
      <c r="F54" s="1">
        <v>0</v>
      </c>
      <c r="G54" s="1">
        <v>0</v>
      </c>
      <c r="H54" s="1">
        <v>0</v>
      </c>
      <c r="I54" s="1">
        <v>916.80600000000004</v>
      </c>
    </row>
    <row r="55" spans="1:9" hidden="1" x14ac:dyDescent="0.25">
      <c r="A55" s="1" t="s">
        <v>139</v>
      </c>
      <c r="B55" s="1" t="s">
        <v>13</v>
      </c>
      <c r="C55" s="1" t="s">
        <v>10</v>
      </c>
      <c r="D55" s="1">
        <v>0</v>
      </c>
      <c r="E55" s="1">
        <v>125.68</v>
      </c>
      <c r="F55" s="1">
        <v>0</v>
      </c>
      <c r="G55" s="1">
        <v>0</v>
      </c>
      <c r="H55" s="1">
        <v>0</v>
      </c>
      <c r="I55" s="1">
        <v>1407.981</v>
      </c>
    </row>
    <row r="56" spans="1:9" hidden="1" x14ac:dyDescent="0.25">
      <c r="A56" s="1" t="s">
        <v>139</v>
      </c>
      <c r="B56" s="1" t="s">
        <v>21</v>
      </c>
      <c r="C56" s="1" t="s">
        <v>18</v>
      </c>
      <c r="D56" s="1">
        <v>0</v>
      </c>
      <c r="E56" s="1">
        <v>-125.68</v>
      </c>
      <c r="F56" s="1">
        <v>0</v>
      </c>
      <c r="G56" s="1">
        <v>0</v>
      </c>
      <c r="H56" s="1">
        <v>0</v>
      </c>
      <c r="I56" s="1">
        <v>-916.80600000000004</v>
      </c>
    </row>
    <row r="57" spans="1:9" hidden="1" x14ac:dyDescent="0.25">
      <c r="A57" s="1" t="s">
        <v>139</v>
      </c>
      <c r="B57" s="1" t="s">
        <v>21</v>
      </c>
      <c r="C57" s="1" t="s">
        <v>10</v>
      </c>
      <c r="D57" s="1">
        <v>0</v>
      </c>
      <c r="E57" s="1">
        <v>-125.68</v>
      </c>
      <c r="F57" s="1">
        <v>0</v>
      </c>
      <c r="G57" s="1">
        <v>0</v>
      </c>
      <c r="H57" s="1">
        <v>0</v>
      </c>
      <c r="I57" s="1">
        <v>-1407.981</v>
      </c>
    </row>
    <row r="58" spans="1:9" hidden="1" x14ac:dyDescent="0.25">
      <c r="A58" s="1" t="s">
        <v>140</v>
      </c>
      <c r="B58" s="1" t="s">
        <v>9</v>
      </c>
      <c r="C58" s="1" t="s">
        <v>18</v>
      </c>
      <c r="D58" s="1">
        <v>1458</v>
      </c>
      <c r="E58" s="1">
        <v>0</v>
      </c>
      <c r="F58" s="1">
        <v>0</v>
      </c>
      <c r="G58" s="1">
        <v>0</v>
      </c>
      <c r="H58" s="1">
        <v>0</v>
      </c>
      <c r="I58" s="1">
        <v>-19683</v>
      </c>
    </row>
    <row r="59" spans="1:9" hidden="1" x14ac:dyDescent="0.25">
      <c r="A59" s="1" t="s">
        <v>140</v>
      </c>
      <c r="B59" s="1" t="s">
        <v>9</v>
      </c>
      <c r="C59" s="1" t="s">
        <v>10</v>
      </c>
      <c r="D59" s="1">
        <v>1458</v>
      </c>
      <c r="E59" s="1">
        <v>0</v>
      </c>
      <c r="F59" s="1">
        <v>0</v>
      </c>
      <c r="G59" s="1">
        <v>0</v>
      </c>
      <c r="H59" s="1">
        <v>0</v>
      </c>
      <c r="I59" s="1">
        <v>-19683</v>
      </c>
    </row>
    <row r="60" spans="1:9" hidden="1" x14ac:dyDescent="0.25">
      <c r="A60" s="1" t="s">
        <v>140</v>
      </c>
      <c r="B60" s="1" t="s">
        <v>19</v>
      </c>
      <c r="C60" s="1" t="s">
        <v>18</v>
      </c>
      <c r="D60" s="1">
        <v>364.5</v>
      </c>
      <c r="E60" s="1">
        <v>0</v>
      </c>
      <c r="F60" s="1">
        <v>0</v>
      </c>
      <c r="G60" s="1">
        <v>0</v>
      </c>
      <c r="H60" s="1">
        <v>0</v>
      </c>
      <c r="I60" s="1">
        <v>-4920.75</v>
      </c>
    </row>
    <row r="61" spans="1:9" hidden="1" x14ac:dyDescent="0.25">
      <c r="A61" s="1" t="s">
        <v>140</v>
      </c>
      <c r="B61" s="1" t="s">
        <v>19</v>
      </c>
      <c r="C61" s="1" t="s">
        <v>10</v>
      </c>
      <c r="D61" s="1">
        <v>364.5</v>
      </c>
      <c r="E61" s="1">
        <v>0</v>
      </c>
      <c r="F61" s="1">
        <v>0</v>
      </c>
      <c r="G61" s="1">
        <v>0</v>
      </c>
      <c r="H61" s="1">
        <v>0</v>
      </c>
      <c r="I61" s="1">
        <v>-4920.75</v>
      </c>
    </row>
    <row r="62" spans="1:9" hidden="1" x14ac:dyDescent="0.25">
      <c r="A62" s="1" t="s">
        <v>140</v>
      </c>
      <c r="B62" s="1" t="s">
        <v>92</v>
      </c>
      <c r="C62" s="1" t="s">
        <v>18</v>
      </c>
      <c r="D62" s="1">
        <v>0</v>
      </c>
      <c r="E62" s="1">
        <v>-144.38999999999999</v>
      </c>
      <c r="F62" s="1">
        <v>0</v>
      </c>
      <c r="G62" s="1">
        <v>0</v>
      </c>
      <c r="H62" s="1">
        <v>0</v>
      </c>
      <c r="I62" s="1">
        <v>-1296.4269999999999</v>
      </c>
    </row>
    <row r="63" spans="1:9" hidden="1" x14ac:dyDescent="0.25">
      <c r="A63" s="1" t="s">
        <v>140</v>
      </c>
      <c r="B63" s="1" t="s">
        <v>92</v>
      </c>
      <c r="C63" s="1" t="s">
        <v>10</v>
      </c>
      <c r="D63" s="1">
        <v>0</v>
      </c>
      <c r="E63" s="1">
        <v>-144.38999999999999</v>
      </c>
      <c r="F63" s="1">
        <v>0</v>
      </c>
      <c r="G63" s="1">
        <v>0</v>
      </c>
      <c r="H63" s="1">
        <v>0</v>
      </c>
      <c r="I63" s="1">
        <v>-1894.3820000000001</v>
      </c>
    </row>
    <row r="64" spans="1:9" hidden="1" x14ac:dyDescent="0.25">
      <c r="A64" s="1" t="s">
        <v>140</v>
      </c>
      <c r="B64" s="1" t="s">
        <v>11</v>
      </c>
      <c r="C64" s="1" t="s">
        <v>18</v>
      </c>
      <c r="D64" s="1">
        <v>0</v>
      </c>
      <c r="E64" s="1">
        <v>118.75</v>
      </c>
      <c r="F64" s="1">
        <v>0</v>
      </c>
      <c r="G64" s="1">
        <v>0</v>
      </c>
      <c r="H64" s="1">
        <v>0</v>
      </c>
      <c r="I64" s="1">
        <v>1161.509</v>
      </c>
    </row>
    <row r="65" spans="1:9" hidden="1" x14ac:dyDescent="0.25">
      <c r="A65" s="1" t="s">
        <v>140</v>
      </c>
      <c r="B65" s="1" t="s">
        <v>11</v>
      </c>
      <c r="C65" s="1" t="s">
        <v>10</v>
      </c>
      <c r="D65" s="1">
        <v>0</v>
      </c>
      <c r="E65" s="1">
        <v>118.75</v>
      </c>
      <c r="F65" s="1">
        <v>0</v>
      </c>
      <c r="G65" s="1">
        <v>0</v>
      </c>
      <c r="H65" s="1">
        <v>0</v>
      </c>
      <c r="I65" s="1">
        <v>1622.644</v>
      </c>
    </row>
    <row r="66" spans="1:9" hidden="1" x14ac:dyDescent="0.25">
      <c r="A66" s="1" t="s">
        <v>140</v>
      </c>
      <c r="B66" s="1" t="s">
        <v>12</v>
      </c>
      <c r="C66" s="1" t="s">
        <v>18</v>
      </c>
      <c r="D66" s="1">
        <v>171.9</v>
      </c>
      <c r="E66" s="1">
        <v>0</v>
      </c>
      <c r="F66" s="1">
        <v>0</v>
      </c>
      <c r="G66" s="1">
        <v>0</v>
      </c>
      <c r="H66" s="1">
        <v>0</v>
      </c>
      <c r="I66" s="1">
        <v>-2320.6260000000002</v>
      </c>
    </row>
    <row r="67" spans="1:9" hidden="1" x14ac:dyDescent="0.25">
      <c r="A67" s="1" t="s">
        <v>140</v>
      </c>
      <c r="B67" s="1" t="s">
        <v>12</v>
      </c>
      <c r="C67" s="1" t="s">
        <v>10</v>
      </c>
      <c r="D67" s="1">
        <v>171.9</v>
      </c>
      <c r="E67" s="1">
        <v>0</v>
      </c>
      <c r="F67" s="1">
        <v>0</v>
      </c>
      <c r="G67" s="1">
        <v>0</v>
      </c>
      <c r="H67" s="1">
        <v>0</v>
      </c>
      <c r="I67" s="1">
        <v>-2320.6260000000002</v>
      </c>
    </row>
    <row r="68" spans="1:9" hidden="1" x14ac:dyDescent="0.25">
      <c r="A68" s="1" t="s">
        <v>140</v>
      </c>
      <c r="B68" s="1" t="s">
        <v>13</v>
      </c>
      <c r="C68" s="1" t="s">
        <v>18</v>
      </c>
      <c r="D68" s="1">
        <v>0</v>
      </c>
      <c r="E68" s="1">
        <v>143.94999999999999</v>
      </c>
      <c r="F68" s="1">
        <v>0</v>
      </c>
      <c r="G68" s="1">
        <v>0</v>
      </c>
      <c r="H68" s="1">
        <v>0</v>
      </c>
      <c r="I68" s="1">
        <v>1407.981</v>
      </c>
    </row>
    <row r="69" spans="1:9" hidden="1" x14ac:dyDescent="0.25">
      <c r="A69" s="1" t="s">
        <v>140</v>
      </c>
      <c r="B69" s="1" t="s">
        <v>13</v>
      </c>
      <c r="C69" s="1" t="s">
        <v>10</v>
      </c>
      <c r="D69" s="1">
        <v>0</v>
      </c>
      <c r="E69" s="1">
        <v>143.94999999999999</v>
      </c>
      <c r="F69" s="1">
        <v>0</v>
      </c>
      <c r="G69" s="1">
        <v>0</v>
      </c>
      <c r="H69" s="1">
        <v>0</v>
      </c>
      <c r="I69" s="1">
        <v>1966.9690000000001</v>
      </c>
    </row>
    <row r="70" spans="1:9" hidden="1" x14ac:dyDescent="0.25">
      <c r="A70" s="1" t="s">
        <v>140</v>
      </c>
      <c r="B70" s="1" t="s">
        <v>21</v>
      </c>
      <c r="C70" s="1" t="s">
        <v>18</v>
      </c>
      <c r="D70" s="1">
        <v>0</v>
      </c>
      <c r="E70" s="1">
        <v>-143.94999999999999</v>
      </c>
      <c r="F70" s="1">
        <v>0</v>
      </c>
      <c r="G70" s="1">
        <v>0</v>
      </c>
      <c r="H70" s="1">
        <v>0</v>
      </c>
      <c r="I70" s="1">
        <v>-1407.981</v>
      </c>
    </row>
    <row r="71" spans="1:9" hidden="1" x14ac:dyDescent="0.25">
      <c r="A71" s="1" t="s">
        <v>140</v>
      </c>
      <c r="B71" s="1" t="s">
        <v>21</v>
      </c>
      <c r="C71" s="1" t="s">
        <v>10</v>
      </c>
      <c r="D71" s="1">
        <v>0</v>
      </c>
      <c r="E71" s="1">
        <v>-143.94999999999999</v>
      </c>
      <c r="F71" s="1">
        <v>0</v>
      </c>
      <c r="G71" s="1">
        <v>0</v>
      </c>
      <c r="H71" s="1">
        <v>0</v>
      </c>
      <c r="I71" s="1">
        <v>-1966.9690000000001</v>
      </c>
    </row>
    <row r="72" spans="1:9" hidden="1" x14ac:dyDescent="0.25">
      <c r="A72" s="1" t="s">
        <v>141</v>
      </c>
      <c r="B72" s="1" t="s">
        <v>9</v>
      </c>
      <c r="C72" s="1" t="s">
        <v>18</v>
      </c>
      <c r="D72" s="1">
        <v>1749.6</v>
      </c>
      <c r="E72" s="1">
        <v>0</v>
      </c>
      <c r="F72" s="1">
        <v>0</v>
      </c>
      <c r="G72" s="1">
        <v>0</v>
      </c>
      <c r="H72" s="1">
        <v>0</v>
      </c>
      <c r="I72" s="1">
        <v>-23619.599999999999</v>
      </c>
    </row>
    <row r="73" spans="1:9" hidden="1" x14ac:dyDescent="0.25">
      <c r="A73" s="1" t="s">
        <v>141</v>
      </c>
      <c r="B73" s="1" t="s">
        <v>9</v>
      </c>
      <c r="C73" s="1" t="s">
        <v>10</v>
      </c>
      <c r="D73" s="1">
        <v>1749.6</v>
      </c>
      <c r="E73" s="1">
        <v>0</v>
      </c>
      <c r="F73" s="1">
        <v>0</v>
      </c>
      <c r="G73" s="1">
        <v>0</v>
      </c>
      <c r="H73" s="1">
        <v>0</v>
      </c>
      <c r="I73" s="1">
        <v>-23619.599999999999</v>
      </c>
    </row>
    <row r="74" spans="1:9" hidden="1" x14ac:dyDescent="0.25">
      <c r="A74" s="1" t="s">
        <v>141</v>
      </c>
      <c r="B74" s="1" t="s">
        <v>19</v>
      </c>
      <c r="C74" s="1" t="s">
        <v>18</v>
      </c>
      <c r="D74" s="1">
        <v>437.4</v>
      </c>
      <c r="E74" s="1">
        <v>0</v>
      </c>
      <c r="F74" s="1">
        <v>0</v>
      </c>
      <c r="G74" s="1">
        <v>0</v>
      </c>
      <c r="H74" s="1">
        <v>0</v>
      </c>
      <c r="I74" s="1">
        <v>-5904.9</v>
      </c>
    </row>
    <row r="75" spans="1:9" hidden="1" x14ac:dyDescent="0.25">
      <c r="A75" s="1" t="s">
        <v>141</v>
      </c>
      <c r="B75" s="1" t="s">
        <v>19</v>
      </c>
      <c r="C75" s="1" t="s">
        <v>10</v>
      </c>
      <c r="D75" s="1">
        <v>437.4</v>
      </c>
      <c r="E75" s="1">
        <v>0</v>
      </c>
      <c r="F75" s="1">
        <v>0</v>
      </c>
      <c r="G75" s="1">
        <v>0</v>
      </c>
      <c r="H75" s="1">
        <v>0</v>
      </c>
      <c r="I75" s="1">
        <v>-5904.9</v>
      </c>
    </row>
    <row r="76" spans="1:9" hidden="1" x14ac:dyDescent="0.25">
      <c r="A76" s="1" t="s">
        <v>141</v>
      </c>
      <c r="B76" s="1" t="s">
        <v>92</v>
      </c>
      <c r="C76" s="1" t="s">
        <v>18</v>
      </c>
      <c r="D76" s="1">
        <v>0</v>
      </c>
      <c r="E76" s="1">
        <v>-164.71</v>
      </c>
      <c r="F76" s="1">
        <v>0</v>
      </c>
      <c r="G76" s="1">
        <v>0</v>
      </c>
      <c r="H76" s="1">
        <v>0</v>
      </c>
      <c r="I76" s="1">
        <v>-1894.3820000000001</v>
      </c>
    </row>
    <row r="77" spans="1:9" hidden="1" x14ac:dyDescent="0.25">
      <c r="A77" s="1" t="s">
        <v>141</v>
      </c>
      <c r="B77" s="1" t="s">
        <v>92</v>
      </c>
      <c r="C77" s="1" t="s">
        <v>10</v>
      </c>
      <c r="D77" s="1">
        <v>0</v>
      </c>
      <c r="E77" s="1">
        <v>-164.71</v>
      </c>
      <c r="F77" s="1">
        <v>0</v>
      </c>
      <c r="G77" s="1">
        <v>0</v>
      </c>
      <c r="H77" s="1">
        <v>0</v>
      </c>
      <c r="I77" s="1">
        <v>-2580.721</v>
      </c>
    </row>
    <row r="78" spans="1:9" hidden="1" x14ac:dyDescent="0.25">
      <c r="A78" s="1" t="s">
        <v>141</v>
      </c>
      <c r="B78" s="1" t="s">
        <v>11</v>
      </c>
      <c r="C78" s="1" t="s">
        <v>18</v>
      </c>
      <c r="D78" s="1">
        <v>0</v>
      </c>
      <c r="E78" s="1">
        <v>132.13</v>
      </c>
      <c r="F78" s="1">
        <v>0</v>
      </c>
      <c r="G78" s="1">
        <v>0</v>
      </c>
      <c r="H78" s="1">
        <v>0</v>
      </c>
      <c r="I78" s="1">
        <v>1622.644</v>
      </c>
    </row>
    <row r="79" spans="1:9" hidden="1" x14ac:dyDescent="0.25">
      <c r="A79" s="1" t="s">
        <v>141</v>
      </c>
      <c r="B79" s="1" t="s">
        <v>11</v>
      </c>
      <c r="C79" s="1" t="s">
        <v>10</v>
      </c>
      <c r="D79" s="1">
        <v>0</v>
      </c>
      <c r="E79" s="1">
        <v>132.13</v>
      </c>
      <c r="F79" s="1">
        <v>0</v>
      </c>
      <c r="G79" s="1">
        <v>0</v>
      </c>
      <c r="H79" s="1">
        <v>0</v>
      </c>
      <c r="I79" s="1">
        <v>2133.9290000000001</v>
      </c>
    </row>
    <row r="80" spans="1:9" hidden="1" x14ac:dyDescent="0.25">
      <c r="A80" s="1" t="s">
        <v>141</v>
      </c>
      <c r="B80" s="1" t="s">
        <v>12</v>
      </c>
      <c r="C80" s="1" t="s">
        <v>18</v>
      </c>
      <c r="D80" s="1">
        <v>206.28</v>
      </c>
      <c r="E80" s="1">
        <v>0</v>
      </c>
      <c r="F80" s="1">
        <v>0</v>
      </c>
      <c r="G80" s="1">
        <v>0</v>
      </c>
      <c r="H80" s="1">
        <v>0</v>
      </c>
      <c r="I80" s="1">
        <v>-2784.7510000000002</v>
      </c>
    </row>
    <row r="81" spans="1:9" hidden="1" x14ac:dyDescent="0.25">
      <c r="A81" s="1" t="s">
        <v>141</v>
      </c>
      <c r="B81" s="1" t="s">
        <v>12</v>
      </c>
      <c r="C81" s="1" t="s">
        <v>10</v>
      </c>
      <c r="D81" s="1">
        <v>206.28</v>
      </c>
      <c r="E81" s="1">
        <v>0</v>
      </c>
      <c r="F81" s="1">
        <v>0</v>
      </c>
      <c r="G81" s="1">
        <v>0</v>
      </c>
      <c r="H81" s="1">
        <v>0</v>
      </c>
      <c r="I81" s="1">
        <v>-2784.7510000000002</v>
      </c>
    </row>
    <row r="82" spans="1:9" hidden="1" x14ac:dyDescent="0.25">
      <c r="A82" s="1" t="s">
        <v>141</v>
      </c>
      <c r="B82" s="1" t="s">
        <v>13</v>
      </c>
      <c r="C82" s="1" t="s">
        <v>18</v>
      </c>
      <c r="D82" s="1">
        <v>0</v>
      </c>
      <c r="E82" s="1">
        <v>160.16999999999999</v>
      </c>
      <c r="F82" s="1">
        <v>0</v>
      </c>
      <c r="G82" s="1">
        <v>0</v>
      </c>
      <c r="H82" s="1">
        <v>0</v>
      </c>
      <c r="I82" s="1">
        <v>1966.9690000000001</v>
      </c>
    </row>
    <row r="83" spans="1:9" hidden="1" x14ac:dyDescent="0.25">
      <c r="A83" s="1" t="s">
        <v>141</v>
      </c>
      <c r="B83" s="1" t="s">
        <v>13</v>
      </c>
      <c r="C83" s="1" t="s">
        <v>10</v>
      </c>
      <c r="D83" s="1">
        <v>0</v>
      </c>
      <c r="E83" s="1">
        <v>160.16999999999999</v>
      </c>
      <c r="F83" s="1">
        <v>0</v>
      </c>
      <c r="G83" s="1">
        <v>0</v>
      </c>
      <c r="H83" s="1">
        <v>0</v>
      </c>
      <c r="I83" s="1">
        <v>2586.7489999999998</v>
      </c>
    </row>
    <row r="84" spans="1:9" hidden="1" x14ac:dyDescent="0.25">
      <c r="A84" s="1" t="s">
        <v>141</v>
      </c>
      <c r="B84" s="1" t="s">
        <v>21</v>
      </c>
      <c r="C84" s="1" t="s">
        <v>18</v>
      </c>
      <c r="D84" s="1">
        <v>0</v>
      </c>
      <c r="E84" s="1">
        <v>-160.16999999999999</v>
      </c>
      <c r="F84" s="1">
        <v>0</v>
      </c>
      <c r="G84" s="1">
        <v>0</v>
      </c>
      <c r="H84" s="1">
        <v>0</v>
      </c>
      <c r="I84" s="1">
        <v>-1966.9690000000001</v>
      </c>
    </row>
    <row r="85" spans="1:9" hidden="1" x14ac:dyDescent="0.25">
      <c r="A85" s="1" t="s">
        <v>141</v>
      </c>
      <c r="B85" s="1" t="s">
        <v>21</v>
      </c>
      <c r="C85" s="1" t="s">
        <v>10</v>
      </c>
      <c r="D85" s="1">
        <v>0</v>
      </c>
      <c r="E85" s="1">
        <v>-160.16999999999999</v>
      </c>
      <c r="F85" s="1">
        <v>0</v>
      </c>
      <c r="G85" s="1">
        <v>0</v>
      </c>
      <c r="H85" s="1">
        <v>0</v>
      </c>
      <c r="I85" s="1">
        <v>-2586.7489999999998</v>
      </c>
    </row>
    <row r="86" spans="1:9" hidden="1" x14ac:dyDescent="0.25">
      <c r="A86" s="1" t="s">
        <v>142</v>
      </c>
      <c r="B86" s="1" t="s">
        <v>9</v>
      </c>
      <c r="C86" s="1" t="s">
        <v>18</v>
      </c>
      <c r="D86" s="1">
        <v>2041.2</v>
      </c>
      <c r="E86" s="1">
        <v>0</v>
      </c>
      <c r="F86" s="1">
        <v>0</v>
      </c>
      <c r="G86" s="1">
        <v>0</v>
      </c>
      <c r="H86" s="1">
        <v>0</v>
      </c>
      <c r="I86" s="1">
        <v>-27556.2</v>
      </c>
    </row>
    <row r="87" spans="1:9" hidden="1" x14ac:dyDescent="0.25">
      <c r="A87" s="1" t="s">
        <v>142</v>
      </c>
      <c r="B87" s="1" t="s">
        <v>9</v>
      </c>
      <c r="C87" s="1" t="s">
        <v>10</v>
      </c>
      <c r="D87" s="1">
        <v>2041.2</v>
      </c>
      <c r="E87" s="1">
        <v>0</v>
      </c>
      <c r="F87" s="1">
        <v>0</v>
      </c>
      <c r="G87" s="1">
        <v>0</v>
      </c>
      <c r="H87" s="1">
        <v>0</v>
      </c>
      <c r="I87" s="1">
        <v>-27556.2</v>
      </c>
    </row>
    <row r="88" spans="1:9" hidden="1" x14ac:dyDescent="0.25">
      <c r="A88" s="1" t="s">
        <v>142</v>
      </c>
      <c r="B88" s="1" t="s">
        <v>19</v>
      </c>
      <c r="C88" s="1" t="s">
        <v>18</v>
      </c>
      <c r="D88" s="1">
        <v>510.3</v>
      </c>
      <c r="E88" s="1">
        <v>0</v>
      </c>
      <c r="F88" s="1">
        <v>0</v>
      </c>
      <c r="G88" s="1">
        <v>0</v>
      </c>
      <c r="H88" s="1">
        <v>0</v>
      </c>
      <c r="I88" s="1">
        <v>-6889.05</v>
      </c>
    </row>
    <row r="89" spans="1:9" hidden="1" x14ac:dyDescent="0.25">
      <c r="A89" s="1" t="s">
        <v>142</v>
      </c>
      <c r="B89" s="1" t="s">
        <v>19</v>
      </c>
      <c r="C89" s="1" t="s">
        <v>10</v>
      </c>
      <c r="D89" s="1">
        <v>510.3</v>
      </c>
      <c r="E89" s="1">
        <v>0</v>
      </c>
      <c r="F89" s="1">
        <v>0</v>
      </c>
      <c r="G89" s="1">
        <v>0</v>
      </c>
      <c r="H89" s="1">
        <v>0</v>
      </c>
      <c r="I89" s="1">
        <v>-6889.05</v>
      </c>
    </row>
    <row r="90" spans="1:9" hidden="1" x14ac:dyDescent="0.25">
      <c r="A90" s="1" t="s">
        <v>142</v>
      </c>
      <c r="B90" s="1" t="s">
        <v>92</v>
      </c>
      <c r="C90" s="1" t="s">
        <v>18</v>
      </c>
      <c r="D90" s="1">
        <v>0</v>
      </c>
      <c r="E90" s="1">
        <v>-182.18</v>
      </c>
      <c r="F90" s="1">
        <v>0</v>
      </c>
      <c r="G90" s="1">
        <v>0</v>
      </c>
      <c r="H90" s="1">
        <v>0</v>
      </c>
      <c r="I90" s="1">
        <v>-2580.721</v>
      </c>
    </row>
    <row r="91" spans="1:9" hidden="1" x14ac:dyDescent="0.25">
      <c r="A91" s="1" t="s">
        <v>142</v>
      </c>
      <c r="B91" s="1" t="s">
        <v>92</v>
      </c>
      <c r="C91" s="1" t="s">
        <v>10</v>
      </c>
      <c r="D91" s="1">
        <v>0</v>
      </c>
      <c r="E91" s="1">
        <v>-182.18</v>
      </c>
      <c r="F91" s="1">
        <v>0</v>
      </c>
      <c r="G91" s="1">
        <v>0</v>
      </c>
      <c r="H91" s="1">
        <v>0</v>
      </c>
      <c r="I91" s="1">
        <v>-3340.6590000000001</v>
      </c>
    </row>
    <row r="92" spans="1:9" hidden="1" x14ac:dyDescent="0.25">
      <c r="A92" s="1" t="s">
        <v>142</v>
      </c>
      <c r="B92" s="1" t="s">
        <v>11</v>
      </c>
      <c r="C92" s="1" t="s">
        <v>18</v>
      </c>
      <c r="D92" s="1">
        <v>0</v>
      </c>
      <c r="E92" s="1">
        <v>144.04</v>
      </c>
      <c r="F92" s="1">
        <v>0</v>
      </c>
      <c r="G92" s="1">
        <v>0</v>
      </c>
      <c r="H92" s="1">
        <v>0</v>
      </c>
      <c r="I92" s="1">
        <v>2133.9290000000001</v>
      </c>
    </row>
    <row r="93" spans="1:9" hidden="1" x14ac:dyDescent="0.25">
      <c r="A93" s="1" t="s">
        <v>142</v>
      </c>
      <c r="B93" s="1" t="s">
        <v>11</v>
      </c>
      <c r="C93" s="1" t="s">
        <v>10</v>
      </c>
      <c r="D93" s="1">
        <v>0</v>
      </c>
      <c r="E93" s="1">
        <v>144.04</v>
      </c>
      <c r="F93" s="1">
        <v>0</v>
      </c>
      <c r="G93" s="1">
        <v>0</v>
      </c>
      <c r="H93" s="1">
        <v>0</v>
      </c>
      <c r="I93" s="1">
        <v>2688.4119999999998</v>
      </c>
    </row>
    <row r="94" spans="1:9" hidden="1" x14ac:dyDescent="0.25">
      <c r="A94" s="1" t="s">
        <v>142</v>
      </c>
      <c r="B94" s="1" t="s">
        <v>12</v>
      </c>
      <c r="C94" s="1" t="s">
        <v>18</v>
      </c>
      <c r="D94" s="1">
        <v>240.66</v>
      </c>
      <c r="E94" s="1">
        <v>0</v>
      </c>
      <c r="F94" s="1">
        <v>0</v>
      </c>
      <c r="G94" s="1">
        <v>0</v>
      </c>
      <c r="H94" s="1">
        <v>0</v>
      </c>
      <c r="I94" s="1">
        <v>-3248.8760000000002</v>
      </c>
    </row>
    <row r="95" spans="1:9" hidden="1" x14ac:dyDescent="0.25">
      <c r="A95" s="1" t="s">
        <v>142</v>
      </c>
      <c r="B95" s="1" t="s">
        <v>12</v>
      </c>
      <c r="C95" s="1" t="s">
        <v>10</v>
      </c>
      <c r="D95" s="1">
        <v>240.66</v>
      </c>
      <c r="E95" s="1">
        <v>0</v>
      </c>
      <c r="F95" s="1">
        <v>0</v>
      </c>
      <c r="G95" s="1">
        <v>0</v>
      </c>
      <c r="H95" s="1">
        <v>0</v>
      </c>
      <c r="I95" s="1">
        <v>-3248.8760000000002</v>
      </c>
    </row>
    <row r="96" spans="1:9" hidden="1" x14ac:dyDescent="0.25">
      <c r="A96" s="1" t="s">
        <v>142</v>
      </c>
      <c r="B96" s="1" t="s">
        <v>13</v>
      </c>
      <c r="C96" s="1" t="s">
        <v>18</v>
      </c>
      <c r="D96" s="1">
        <v>0</v>
      </c>
      <c r="E96" s="1">
        <v>174.61</v>
      </c>
      <c r="F96" s="1">
        <v>0</v>
      </c>
      <c r="G96" s="1">
        <v>0</v>
      </c>
      <c r="H96" s="1">
        <v>0</v>
      </c>
      <c r="I96" s="1">
        <v>2586.7489999999998</v>
      </c>
    </row>
    <row r="97" spans="1:9" hidden="1" x14ac:dyDescent="0.25">
      <c r="A97" s="1" t="s">
        <v>142</v>
      </c>
      <c r="B97" s="1" t="s">
        <v>13</v>
      </c>
      <c r="C97" s="1" t="s">
        <v>10</v>
      </c>
      <c r="D97" s="1">
        <v>0</v>
      </c>
      <c r="E97" s="1">
        <v>174.61</v>
      </c>
      <c r="F97" s="1">
        <v>0</v>
      </c>
      <c r="G97" s="1">
        <v>0</v>
      </c>
      <c r="H97" s="1">
        <v>0</v>
      </c>
      <c r="I97" s="1">
        <v>3258.893</v>
      </c>
    </row>
    <row r="98" spans="1:9" hidden="1" x14ac:dyDescent="0.25">
      <c r="A98" s="1" t="s">
        <v>142</v>
      </c>
      <c r="B98" s="1" t="s">
        <v>21</v>
      </c>
      <c r="C98" s="1" t="s">
        <v>18</v>
      </c>
      <c r="D98" s="1">
        <v>0</v>
      </c>
      <c r="E98" s="1">
        <v>-174.61</v>
      </c>
      <c r="F98" s="1">
        <v>0</v>
      </c>
      <c r="G98" s="1">
        <v>0</v>
      </c>
      <c r="H98" s="1">
        <v>0</v>
      </c>
      <c r="I98" s="1">
        <v>-2586.7489999999998</v>
      </c>
    </row>
    <row r="99" spans="1:9" hidden="1" x14ac:dyDescent="0.25">
      <c r="A99" s="1" t="s">
        <v>142</v>
      </c>
      <c r="B99" s="1" t="s">
        <v>21</v>
      </c>
      <c r="C99" s="1" t="s">
        <v>10</v>
      </c>
      <c r="D99" s="1">
        <v>0</v>
      </c>
      <c r="E99" s="1">
        <v>-174.61</v>
      </c>
      <c r="F99" s="1">
        <v>0</v>
      </c>
      <c r="G99" s="1">
        <v>0</v>
      </c>
      <c r="H99" s="1">
        <v>0</v>
      </c>
      <c r="I99" s="1">
        <v>-3258.893</v>
      </c>
    </row>
    <row r="100" spans="1:9" hidden="1" x14ac:dyDescent="0.25">
      <c r="A100" s="1" t="s">
        <v>143</v>
      </c>
      <c r="B100" s="1" t="s">
        <v>9</v>
      </c>
      <c r="C100" s="1" t="s">
        <v>18</v>
      </c>
      <c r="D100" s="1">
        <v>2332.8000000000002</v>
      </c>
      <c r="E100" s="1">
        <v>0</v>
      </c>
      <c r="F100" s="1">
        <v>0</v>
      </c>
      <c r="G100" s="1">
        <v>0</v>
      </c>
      <c r="H100" s="1">
        <v>0</v>
      </c>
      <c r="I100" s="1">
        <v>-31492.799999999999</v>
      </c>
    </row>
    <row r="101" spans="1:9" hidden="1" x14ac:dyDescent="0.25">
      <c r="A101" s="1" t="s">
        <v>143</v>
      </c>
      <c r="B101" s="1" t="s">
        <v>9</v>
      </c>
      <c r="C101" s="1" t="s">
        <v>10</v>
      </c>
      <c r="D101" s="1">
        <v>2332.8000000000002</v>
      </c>
      <c r="E101" s="1">
        <v>0</v>
      </c>
      <c r="F101" s="1">
        <v>0</v>
      </c>
      <c r="G101" s="1">
        <v>0</v>
      </c>
      <c r="H101" s="1">
        <v>0</v>
      </c>
      <c r="I101" s="1">
        <v>-31492.799999999999</v>
      </c>
    </row>
    <row r="102" spans="1:9" hidden="1" x14ac:dyDescent="0.25">
      <c r="A102" s="1" t="s">
        <v>143</v>
      </c>
      <c r="B102" s="1" t="s">
        <v>19</v>
      </c>
      <c r="C102" s="1" t="s">
        <v>18</v>
      </c>
      <c r="D102" s="1">
        <v>583.20000000000005</v>
      </c>
      <c r="E102" s="1">
        <v>0</v>
      </c>
      <c r="F102" s="1">
        <v>0</v>
      </c>
      <c r="G102" s="1">
        <v>0</v>
      </c>
      <c r="H102" s="1">
        <v>0</v>
      </c>
      <c r="I102" s="1">
        <v>-7873.2</v>
      </c>
    </row>
    <row r="103" spans="1:9" hidden="1" x14ac:dyDescent="0.25">
      <c r="A103" s="1" t="s">
        <v>143</v>
      </c>
      <c r="B103" s="1" t="s">
        <v>19</v>
      </c>
      <c r="C103" s="1" t="s">
        <v>10</v>
      </c>
      <c r="D103" s="1">
        <v>583.20000000000005</v>
      </c>
      <c r="E103" s="1">
        <v>0</v>
      </c>
      <c r="F103" s="1">
        <v>0</v>
      </c>
      <c r="G103" s="1">
        <v>0</v>
      </c>
      <c r="H103" s="1">
        <v>0</v>
      </c>
      <c r="I103" s="1">
        <v>-7873.2</v>
      </c>
    </row>
    <row r="104" spans="1:9" hidden="1" x14ac:dyDescent="0.25">
      <c r="A104" s="1" t="s">
        <v>143</v>
      </c>
      <c r="B104" s="1" t="s">
        <v>92</v>
      </c>
      <c r="C104" s="1" t="s">
        <v>18</v>
      </c>
      <c r="D104" s="1">
        <v>0</v>
      </c>
      <c r="E104" s="1">
        <v>-196.8</v>
      </c>
      <c r="F104" s="1">
        <v>0</v>
      </c>
      <c r="G104" s="1">
        <v>0</v>
      </c>
      <c r="H104" s="1">
        <v>0</v>
      </c>
      <c r="I104" s="1">
        <v>-3340.6590000000001</v>
      </c>
    </row>
    <row r="105" spans="1:9" hidden="1" x14ac:dyDescent="0.25">
      <c r="A105" s="1" t="s">
        <v>143</v>
      </c>
      <c r="B105" s="1" t="s">
        <v>92</v>
      </c>
      <c r="C105" s="1" t="s">
        <v>10</v>
      </c>
      <c r="D105" s="1">
        <v>0</v>
      </c>
      <c r="E105" s="1">
        <v>-196.8</v>
      </c>
      <c r="F105" s="1">
        <v>0</v>
      </c>
      <c r="G105" s="1">
        <v>0</v>
      </c>
      <c r="H105" s="1">
        <v>0</v>
      </c>
      <c r="I105" s="1">
        <v>-4165.5469999999996</v>
      </c>
    </row>
    <row r="106" spans="1:9" hidden="1" x14ac:dyDescent="0.25">
      <c r="A106" s="1" t="s">
        <v>143</v>
      </c>
      <c r="B106" s="1" t="s">
        <v>11</v>
      </c>
      <c r="C106" s="1" t="s">
        <v>18</v>
      </c>
      <c r="D106" s="1">
        <v>0</v>
      </c>
      <c r="E106" s="1">
        <v>155.02000000000001</v>
      </c>
      <c r="F106" s="1">
        <v>0</v>
      </c>
      <c r="G106" s="1">
        <v>0</v>
      </c>
      <c r="H106" s="1">
        <v>0</v>
      </c>
      <c r="I106" s="1">
        <v>2688.4119999999998</v>
      </c>
    </row>
    <row r="107" spans="1:9" hidden="1" x14ac:dyDescent="0.25">
      <c r="A107" s="1" t="s">
        <v>143</v>
      </c>
      <c r="B107" s="1" t="s">
        <v>11</v>
      </c>
      <c r="C107" s="1" t="s">
        <v>10</v>
      </c>
      <c r="D107" s="1">
        <v>0</v>
      </c>
      <c r="E107" s="1">
        <v>155.02000000000001</v>
      </c>
      <c r="F107" s="1">
        <v>0</v>
      </c>
      <c r="G107" s="1">
        <v>0</v>
      </c>
      <c r="H107" s="1">
        <v>0</v>
      </c>
      <c r="I107" s="1">
        <v>3285.4879999999998</v>
      </c>
    </row>
    <row r="108" spans="1:9" hidden="1" x14ac:dyDescent="0.25">
      <c r="A108" s="1" t="s">
        <v>143</v>
      </c>
      <c r="B108" s="1" t="s">
        <v>12</v>
      </c>
      <c r="C108" s="1" t="s">
        <v>18</v>
      </c>
      <c r="D108" s="1">
        <v>275.04000000000002</v>
      </c>
      <c r="E108" s="1">
        <v>0</v>
      </c>
      <c r="F108" s="1">
        <v>0</v>
      </c>
      <c r="G108" s="1">
        <v>0</v>
      </c>
      <c r="H108" s="1">
        <v>0</v>
      </c>
      <c r="I108" s="1">
        <v>-3713.0010000000002</v>
      </c>
    </row>
    <row r="109" spans="1:9" hidden="1" x14ac:dyDescent="0.25">
      <c r="A109" s="1" t="s">
        <v>143</v>
      </c>
      <c r="B109" s="1" t="s">
        <v>12</v>
      </c>
      <c r="C109" s="1" t="s">
        <v>10</v>
      </c>
      <c r="D109" s="1">
        <v>275.04000000000002</v>
      </c>
      <c r="E109" s="1">
        <v>0</v>
      </c>
      <c r="F109" s="1">
        <v>0</v>
      </c>
      <c r="G109" s="1">
        <v>0</v>
      </c>
      <c r="H109" s="1">
        <v>0</v>
      </c>
      <c r="I109" s="1">
        <v>-3713.0010000000002</v>
      </c>
    </row>
    <row r="110" spans="1:9" hidden="1" x14ac:dyDescent="0.25">
      <c r="A110" s="1" t="s">
        <v>143</v>
      </c>
      <c r="B110" s="1" t="s">
        <v>13</v>
      </c>
      <c r="C110" s="1" t="s">
        <v>18</v>
      </c>
      <c r="D110" s="1">
        <v>0</v>
      </c>
      <c r="E110" s="1">
        <v>187.91</v>
      </c>
      <c r="F110" s="1">
        <v>0</v>
      </c>
      <c r="G110" s="1">
        <v>0</v>
      </c>
      <c r="H110" s="1">
        <v>0</v>
      </c>
      <c r="I110" s="1">
        <v>3258.893</v>
      </c>
    </row>
    <row r="111" spans="1:9" hidden="1" x14ac:dyDescent="0.25">
      <c r="A111" s="1" t="s">
        <v>143</v>
      </c>
      <c r="B111" s="1" t="s">
        <v>13</v>
      </c>
      <c r="C111" s="1" t="s">
        <v>10</v>
      </c>
      <c r="D111" s="1">
        <v>0</v>
      </c>
      <c r="E111" s="1">
        <v>187.91</v>
      </c>
      <c r="F111" s="1">
        <v>0</v>
      </c>
      <c r="G111" s="1">
        <v>0</v>
      </c>
      <c r="H111" s="1">
        <v>0</v>
      </c>
      <c r="I111" s="1">
        <v>3982.6680000000001</v>
      </c>
    </row>
    <row r="112" spans="1:9" hidden="1" x14ac:dyDescent="0.25">
      <c r="A112" s="1" t="s">
        <v>143</v>
      </c>
      <c r="B112" s="1" t="s">
        <v>21</v>
      </c>
      <c r="C112" s="1" t="s">
        <v>18</v>
      </c>
      <c r="D112" s="1">
        <v>0</v>
      </c>
      <c r="E112" s="1">
        <v>-187.91</v>
      </c>
      <c r="F112" s="1">
        <v>0</v>
      </c>
      <c r="G112" s="1">
        <v>0</v>
      </c>
      <c r="H112" s="1">
        <v>0</v>
      </c>
      <c r="I112" s="1">
        <v>-3258.893</v>
      </c>
    </row>
    <row r="113" spans="1:9" hidden="1" x14ac:dyDescent="0.25">
      <c r="A113" s="1" t="s">
        <v>143</v>
      </c>
      <c r="B113" s="1" t="s">
        <v>21</v>
      </c>
      <c r="C113" s="1" t="s">
        <v>10</v>
      </c>
      <c r="D113" s="1">
        <v>0</v>
      </c>
      <c r="E113" s="1">
        <v>-187.91</v>
      </c>
      <c r="F113" s="1">
        <v>0</v>
      </c>
      <c r="G113" s="1">
        <v>0</v>
      </c>
      <c r="H113" s="1">
        <v>0</v>
      </c>
      <c r="I113" s="1">
        <v>-3982.6680000000001</v>
      </c>
    </row>
    <row r="114" spans="1:9" hidden="1" x14ac:dyDescent="0.25">
      <c r="A114" s="1" t="s">
        <v>144</v>
      </c>
      <c r="B114" s="1" t="s">
        <v>9</v>
      </c>
      <c r="C114" s="1" t="s">
        <v>18</v>
      </c>
      <c r="D114" s="1">
        <v>2624.4</v>
      </c>
      <c r="E114" s="1">
        <v>0</v>
      </c>
      <c r="F114" s="1">
        <v>0</v>
      </c>
      <c r="G114" s="1">
        <v>0</v>
      </c>
      <c r="H114" s="1">
        <v>0</v>
      </c>
      <c r="I114" s="1">
        <v>-35429.4</v>
      </c>
    </row>
    <row r="115" spans="1:9" hidden="1" x14ac:dyDescent="0.25">
      <c r="A115" s="1" t="s">
        <v>144</v>
      </c>
      <c r="B115" s="1" t="s">
        <v>9</v>
      </c>
      <c r="C115" s="1" t="s">
        <v>10</v>
      </c>
      <c r="D115" s="1">
        <v>2624.4</v>
      </c>
      <c r="E115" s="1">
        <v>0</v>
      </c>
      <c r="F115" s="1">
        <v>0</v>
      </c>
      <c r="G115" s="1">
        <v>0</v>
      </c>
      <c r="H115" s="1">
        <v>0</v>
      </c>
      <c r="I115" s="1">
        <v>-35429.4</v>
      </c>
    </row>
    <row r="116" spans="1:9" hidden="1" x14ac:dyDescent="0.25">
      <c r="A116" s="1" t="s">
        <v>144</v>
      </c>
      <c r="B116" s="1" t="s">
        <v>19</v>
      </c>
      <c r="C116" s="1" t="s">
        <v>18</v>
      </c>
      <c r="D116" s="1">
        <v>656.1</v>
      </c>
      <c r="E116" s="1">
        <v>0</v>
      </c>
      <c r="F116" s="1">
        <v>0</v>
      </c>
      <c r="G116" s="1">
        <v>0</v>
      </c>
      <c r="H116" s="1">
        <v>0</v>
      </c>
      <c r="I116" s="1">
        <v>-8857.35</v>
      </c>
    </row>
    <row r="117" spans="1:9" hidden="1" x14ac:dyDescent="0.25">
      <c r="A117" s="1" t="s">
        <v>144</v>
      </c>
      <c r="B117" s="1" t="s">
        <v>19</v>
      </c>
      <c r="C117" s="1" t="s">
        <v>10</v>
      </c>
      <c r="D117" s="1">
        <v>656.1</v>
      </c>
      <c r="E117" s="1">
        <v>0</v>
      </c>
      <c r="F117" s="1">
        <v>0</v>
      </c>
      <c r="G117" s="1">
        <v>0</v>
      </c>
      <c r="H117" s="1">
        <v>0</v>
      </c>
      <c r="I117" s="1">
        <v>-8857.35</v>
      </c>
    </row>
    <row r="118" spans="1:9" hidden="1" x14ac:dyDescent="0.25">
      <c r="A118" s="1" t="s">
        <v>144</v>
      </c>
      <c r="B118" s="1" t="s">
        <v>92</v>
      </c>
      <c r="C118" s="1" t="s">
        <v>18</v>
      </c>
      <c r="D118" s="1">
        <v>0</v>
      </c>
      <c r="E118" s="1">
        <v>-208.57</v>
      </c>
      <c r="F118" s="1">
        <v>0</v>
      </c>
      <c r="G118" s="1">
        <v>0</v>
      </c>
      <c r="H118" s="1">
        <v>0</v>
      </c>
      <c r="I118" s="1">
        <v>-4165.5469999999996</v>
      </c>
    </row>
    <row r="119" spans="1:9" hidden="1" x14ac:dyDescent="0.25">
      <c r="A119" s="1" t="s">
        <v>144</v>
      </c>
      <c r="B119" s="1" t="s">
        <v>92</v>
      </c>
      <c r="C119" s="1" t="s">
        <v>10</v>
      </c>
      <c r="D119" s="1">
        <v>0</v>
      </c>
      <c r="E119" s="1">
        <v>-208.57</v>
      </c>
      <c r="F119" s="1">
        <v>0</v>
      </c>
      <c r="G119" s="1">
        <v>0</v>
      </c>
      <c r="H119" s="1">
        <v>0</v>
      </c>
      <c r="I119" s="1">
        <v>-5043.9009999999998</v>
      </c>
    </row>
    <row r="120" spans="1:9" hidden="1" x14ac:dyDescent="0.25">
      <c r="A120" s="1" t="s">
        <v>144</v>
      </c>
      <c r="B120" s="1" t="s">
        <v>11</v>
      </c>
      <c r="C120" s="1" t="s">
        <v>18</v>
      </c>
      <c r="D120" s="1">
        <v>0</v>
      </c>
      <c r="E120" s="1">
        <v>165.17</v>
      </c>
      <c r="F120" s="1">
        <v>0</v>
      </c>
      <c r="G120" s="1">
        <v>0</v>
      </c>
      <c r="H120" s="1">
        <v>0</v>
      </c>
      <c r="I120" s="1">
        <v>3285.4879999999998</v>
      </c>
    </row>
    <row r="121" spans="1:9" hidden="1" x14ac:dyDescent="0.25">
      <c r="A121" s="1" t="s">
        <v>144</v>
      </c>
      <c r="B121" s="1" t="s">
        <v>11</v>
      </c>
      <c r="C121" s="1" t="s">
        <v>10</v>
      </c>
      <c r="D121" s="1">
        <v>0</v>
      </c>
      <c r="E121" s="1">
        <v>165.17</v>
      </c>
      <c r="F121" s="1">
        <v>0</v>
      </c>
      <c r="G121" s="1">
        <v>0</v>
      </c>
      <c r="H121" s="1">
        <v>0</v>
      </c>
      <c r="I121" s="1">
        <v>3921.9929999999999</v>
      </c>
    </row>
    <row r="122" spans="1:9" hidden="1" x14ac:dyDescent="0.25">
      <c r="A122" s="1" t="s">
        <v>144</v>
      </c>
      <c r="B122" s="1" t="s">
        <v>12</v>
      </c>
      <c r="C122" s="1" t="s">
        <v>18</v>
      </c>
      <c r="D122" s="1">
        <v>309.42</v>
      </c>
      <c r="E122" s="1">
        <v>0</v>
      </c>
      <c r="F122" s="1">
        <v>0</v>
      </c>
      <c r="G122" s="1">
        <v>0</v>
      </c>
      <c r="H122" s="1">
        <v>0</v>
      </c>
      <c r="I122" s="1">
        <v>-4177.1260000000002</v>
      </c>
    </row>
    <row r="123" spans="1:9" hidden="1" x14ac:dyDescent="0.25">
      <c r="A123" s="1" t="s">
        <v>144</v>
      </c>
      <c r="B123" s="1" t="s">
        <v>12</v>
      </c>
      <c r="C123" s="1" t="s">
        <v>10</v>
      </c>
      <c r="D123" s="1">
        <v>309.42</v>
      </c>
      <c r="E123" s="1">
        <v>0</v>
      </c>
      <c r="F123" s="1">
        <v>0</v>
      </c>
      <c r="G123" s="1">
        <v>0</v>
      </c>
      <c r="H123" s="1">
        <v>0</v>
      </c>
      <c r="I123" s="1">
        <v>-4177.1260000000002</v>
      </c>
    </row>
    <row r="124" spans="1:9" hidden="1" x14ac:dyDescent="0.25">
      <c r="A124" s="1" t="s">
        <v>144</v>
      </c>
      <c r="B124" s="1" t="s">
        <v>13</v>
      </c>
      <c r="C124" s="1" t="s">
        <v>18</v>
      </c>
      <c r="D124" s="1">
        <v>0</v>
      </c>
      <c r="E124" s="1">
        <v>200.21</v>
      </c>
      <c r="F124" s="1">
        <v>0</v>
      </c>
      <c r="G124" s="1">
        <v>0</v>
      </c>
      <c r="H124" s="1">
        <v>0</v>
      </c>
      <c r="I124" s="1">
        <v>3982.6680000000001</v>
      </c>
    </row>
    <row r="125" spans="1:9" hidden="1" x14ac:dyDescent="0.25">
      <c r="A125" s="1" t="s">
        <v>144</v>
      </c>
      <c r="B125" s="1" t="s">
        <v>13</v>
      </c>
      <c r="C125" s="1" t="s">
        <v>10</v>
      </c>
      <c r="D125" s="1">
        <v>0</v>
      </c>
      <c r="E125" s="1">
        <v>200.21</v>
      </c>
      <c r="F125" s="1">
        <v>0</v>
      </c>
      <c r="G125" s="1">
        <v>0</v>
      </c>
      <c r="H125" s="1">
        <v>0</v>
      </c>
      <c r="I125" s="1">
        <v>4754.24</v>
      </c>
    </row>
    <row r="126" spans="1:9" hidden="1" x14ac:dyDescent="0.25">
      <c r="A126" s="1" t="s">
        <v>144</v>
      </c>
      <c r="B126" s="1" t="s">
        <v>21</v>
      </c>
      <c r="C126" s="1" t="s">
        <v>18</v>
      </c>
      <c r="D126" s="1">
        <v>0</v>
      </c>
      <c r="E126" s="1">
        <v>-200.21</v>
      </c>
      <c r="F126" s="1">
        <v>0</v>
      </c>
      <c r="G126" s="1">
        <v>0</v>
      </c>
      <c r="H126" s="1">
        <v>0</v>
      </c>
      <c r="I126" s="1">
        <v>-3982.6680000000001</v>
      </c>
    </row>
    <row r="127" spans="1:9" hidden="1" x14ac:dyDescent="0.25">
      <c r="A127" s="1" t="s">
        <v>144</v>
      </c>
      <c r="B127" s="1" t="s">
        <v>21</v>
      </c>
      <c r="C127" s="1" t="s">
        <v>10</v>
      </c>
      <c r="D127" s="1">
        <v>0</v>
      </c>
      <c r="E127" s="1">
        <v>-200.21</v>
      </c>
      <c r="F127" s="1">
        <v>0</v>
      </c>
      <c r="G127" s="1">
        <v>0</v>
      </c>
      <c r="H127" s="1">
        <v>0</v>
      </c>
      <c r="I127" s="1">
        <v>-4754.24</v>
      </c>
    </row>
    <row r="128" spans="1:9" hidden="1" x14ac:dyDescent="0.25">
      <c r="A128" s="1" t="s">
        <v>91</v>
      </c>
      <c r="B128" s="1" t="s">
        <v>9</v>
      </c>
      <c r="C128" s="1" t="s">
        <v>18</v>
      </c>
      <c r="D128" s="1">
        <v>2916</v>
      </c>
      <c r="E128" s="1">
        <v>0</v>
      </c>
      <c r="F128" s="1">
        <v>0</v>
      </c>
      <c r="G128" s="1">
        <v>0</v>
      </c>
      <c r="H128" s="1">
        <v>0</v>
      </c>
      <c r="I128" s="1">
        <v>-39366</v>
      </c>
    </row>
    <row r="129" spans="1:9" hidden="1" x14ac:dyDescent="0.25">
      <c r="A129" s="1" t="s">
        <v>91</v>
      </c>
      <c r="B129" s="1" t="s">
        <v>9</v>
      </c>
      <c r="C129" s="1" t="s">
        <v>10</v>
      </c>
      <c r="D129" s="1">
        <v>2916</v>
      </c>
      <c r="E129" s="1">
        <v>0</v>
      </c>
      <c r="F129" s="1">
        <v>0</v>
      </c>
      <c r="G129" s="1">
        <v>0</v>
      </c>
      <c r="H129" s="1">
        <v>0</v>
      </c>
      <c r="I129" s="1">
        <v>-39366</v>
      </c>
    </row>
    <row r="130" spans="1:9" hidden="1" x14ac:dyDescent="0.25">
      <c r="A130" s="1" t="s">
        <v>91</v>
      </c>
      <c r="B130" s="1" t="s">
        <v>19</v>
      </c>
      <c r="C130" s="1" t="s">
        <v>18</v>
      </c>
      <c r="D130" s="1">
        <v>729</v>
      </c>
      <c r="E130" s="1">
        <v>0</v>
      </c>
      <c r="F130" s="1">
        <v>0</v>
      </c>
      <c r="G130" s="1">
        <v>0</v>
      </c>
      <c r="H130" s="1">
        <v>0</v>
      </c>
      <c r="I130" s="1">
        <v>-9841.5</v>
      </c>
    </row>
    <row r="131" spans="1:9" hidden="1" x14ac:dyDescent="0.25">
      <c r="A131" s="1" t="s">
        <v>91</v>
      </c>
      <c r="B131" s="1" t="s">
        <v>19</v>
      </c>
      <c r="C131" s="1" t="s">
        <v>10</v>
      </c>
      <c r="D131" s="1">
        <v>729</v>
      </c>
      <c r="E131" s="1">
        <v>0</v>
      </c>
      <c r="F131" s="1">
        <v>0</v>
      </c>
      <c r="G131" s="1">
        <v>0</v>
      </c>
      <c r="H131" s="1">
        <v>0</v>
      </c>
      <c r="I131" s="1">
        <v>-9841.5</v>
      </c>
    </row>
    <row r="132" spans="1:9" hidden="1" x14ac:dyDescent="0.25">
      <c r="A132" s="1" t="s">
        <v>91</v>
      </c>
      <c r="B132" s="1" t="s">
        <v>92</v>
      </c>
      <c r="C132" s="1" t="s">
        <v>18</v>
      </c>
      <c r="D132" s="1">
        <v>0</v>
      </c>
      <c r="E132" s="1">
        <v>-217.48</v>
      </c>
      <c r="F132" s="1">
        <v>0</v>
      </c>
      <c r="G132" s="1">
        <v>0</v>
      </c>
      <c r="H132" s="1">
        <v>0</v>
      </c>
      <c r="I132" s="1">
        <v>-5043.9009999999998</v>
      </c>
    </row>
    <row r="133" spans="1:9" hidden="1" x14ac:dyDescent="0.25">
      <c r="A133" s="1" t="s">
        <v>91</v>
      </c>
      <c r="B133" s="1" t="s">
        <v>92</v>
      </c>
      <c r="C133" s="1" t="s">
        <v>10</v>
      </c>
      <c r="D133" s="1">
        <v>0</v>
      </c>
      <c r="E133" s="1">
        <v>-217.48</v>
      </c>
      <c r="F133" s="1">
        <v>0</v>
      </c>
      <c r="G133" s="1">
        <v>0</v>
      </c>
      <c r="H133" s="1">
        <v>0</v>
      </c>
      <c r="I133" s="1">
        <v>-5962.8220000000001</v>
      </c>
    </row>
    <row r="134" spans="1:9" hidden="1" x14ac:dyDescent="0.25">
      <c r="A134" s="1" t="s">
        <v>91</v>
      </c>
      <c r="B134" s="1" t="s">
        <v>11</v>
      </c>
      <c r="C134" s="1" t="s">
        <v>18</v>
      </c>
      <c r="D134" s="1">
        <v>0</v>
      </c>
      <c r="E134" s="1">
        <v>174.46</v>
      </c>
      <c r="F134" s="1">
        <v>0</v>
      </c>
      <c r="G134" s="1">
        <v>0</v>
      </c>
      <c r="H134" s="1">
        <v>0</v>
      </c>
      <c r="I134" s="1">
        <v>3921.9929999999999</v>
      </c>
    </row>
    <row r="135" spans="1:9" hidden="1" x14ac:dyDescent="0.25">
      <c r="A135" s="1" t="s">
        <v>91</v>
      </c>
      <c r="B135" s="1" t="s">
        <v>11</v>
      </c>
      <c r="C135" s="1" t="s">
        <v>10</v>
      </c>
      <c r="D135" s="1">
        <v>0</v>
      </c>
      <c r="E135" s="1">
        <v>174.46</v>
      </c>
      <c r="F135" s="1">
        <v>0</v>
      </c>
      <c r="G135" s="1">
        <v>0</v>
      </c>
      <c r="H135" s="1">
        <v>0</v>
      </c>
      <c r="I135" s="1">
        <v>4594.0550000000003</v>
      </c>
    </row>
    <row r="136" spans="1:9" hidden="1" x14ac:dyDescent="0.25">
      <c r="A136" s="1" t="s">
        <v>91</v>
      </c>
      <c r="B136" s="1" t="s">
        <v>12</v>
      </c>
      <c r="C136" s="1" t="s">
        <v>18</v>
      </c>
      <c r="D136" s="1">
        <v>343.8</v>
      </c>
      <c r="E136" s="1">
        <v>0</v>
      </c>
      <c r="F136" s="1">
        <v>0</v>
      </c>
      <c r="G136" s="1">
        <v>0</v>
      </c>
      <c r="H136" s="1">
        <v>0</v>
      </c>
      <c r="I136" s="1">
        <v>-4641.2510000000002</v>
      </c>
    </row>
    <row r="137" spans="1:9" hidden="1" x14ac:dyDescent="0.25">
      <c r="A137" s="1" t="s">
        <v>91</v>
      </c>
      <c r="B137" s="1" t="s">
        <v>12</v>
      </c>
      <c r="C137" s="1" t="s">
        <v>10</v>
      </c>
      <c r="D137" s="1">
        <v>343.8</v>
      </c>
      <c r="E137" s="1">
        <v>0</v>
      </c>
      <c r="F137" s="1">
        <v>0</v>
      </c>
      <c r="G137" s="1">
        <v>0</v>
      </c>
      <c r="H137" s="1">
        <v>0</v>
      </c>
      <c r="I137" s="1">
        <v>-4641.2510000000002</v>
      </c>
    </row>
    <row r="138" spans="1:9" hidden="1" x14ac:dyDescent="0.25">
      <c r="A138" s="1" t="s">
        <v>91</v>
      </c>
      <c r="B138" s="1" t="s">
        <v>13</v>
      </c>
      <c r="C138" s="1" t="s">
        <v>18</v>
      </c>
      <c r="D138" s="1">
        <v>0</v>
      </c>
      <c r="E138" s="1">
        <v>211.48</v>
      </c>
      <c r="F138" s="1">
        <v>0</v>
      </c>
      <c r="G138" s="1">
        <v>0</v>
      </c>
      <c r="H138" s="1">
        <v>0</v>
      </c>
      <c r="I138" s="1">
        <v>4754.24</v>
      </c>
    </row>
    <row r="139" spans="1:9" hidden="1" x14ac:dyDescent="0.25">
      <c r="A139" s="1" t="s">
        <v>91</v>
      </c>
      <c r="B139" s="1" t="s">
        <v>13</v>
      </c>
      <c r="C139" s="1" t="s">
        <v>10</v>
      </c>
      <c r="D139" s="1">
        <v>0</v>
      </c>
      <c r="E139" s="1">
        <v>211.48</v>
      </c>
      <c r="F139" s="1">
        <v>0</v>
      </c>
      <c r="G139" s="1">
        <v>0</v>
      </c>
      <c r="H139" s="1">
        <v>0</v>
      </c>
      <c r="I139" s="1">
        <v>5568.9139999999998</v>
      </c>
    </row>
    <row r="140" spans="1:9" hidden="1" x14ac:dyDescent="0.25">
      <c r="A140" s="1" t="s">
        <v>91</v>
      </c>
      <c r="B140" s="1" t="s">
        <v>21</v>
      </c>
      <c r="C140" s="1" t="s">
        <v>18</v>
      </c>
      <c r="D140" s="1">
        <v>0</v>
      </c>
      <c r="E140" s="1">
        <v>-211.48</v>
      </c>
      <c r="F140" s="1">
        <v>0</v>
      </c>
      <c r="G140" s="1">
        <v>0</v>
      </c>
      <c r="H140" s="1">
        <v>0</v>
      </c>
      <c r="I140" s="1">
        <v>-4754.24</v>
      </c>
    </row>
    <row r="141" spans="1:9" hidden="1" x14ac:dyDescent="0.25">
      <c r="A141" s="1" t="s">
        <v>91</v>
      </c>
      <c r="B141" s="1" t="s">
        <v>21</v>
      </c>
      <c r="C141" s="1" t="s">
        <v>10</v>
      </c>
      <c r="D141" s="1">
        <v>0</v>
      </c>
      <c r="E141" s="1">
        <v>-211.48</v>
      </c>
      <c r="F141" s="1">
        <v>0</v>
      </c>
      <c r="G141" s="1">
        <v>0</v>
      </c>
      <c r="H141" s="1">
        <v>0</v>
      </c>
      <c r="I141" s="1">
        <v>-5568.9139999999998</v>
      </c>
    </row>
    <row r="142" spans="1:9" hidden="1" x14ac:dyDescent="0.25">
      <c r="A142" s="1" t="s">
        <v>17</v>
      </c>
      <c r="B142" s="1" t="s">
        <v>9</v>
      </c>
      <c r="C142" s="1" t="s">
        <v>18</v>
      </c>
      <c r="D142" s="1">
        <v>3207.6</v>
      </c>
      <c r="E142" s="1">
        <v>0</v>
      </c>
      <c r="F142" s="1">
        <v>0</v>
      </c>
      <c r="G142" s="1">
        <v>0</v>
      </c>
      <c r="H142" s="1">
        <v>0</v>
      </c>
      <c r="I142" s="1">
        <v>-43302.6</v>
      </c>
    </row>
    <row r="143" spans="1:9" hidden="1" x14ac:dyDescent="0.25">
      <c r="A143" s="1" t="s">
        <v>17</v>
      </c>
      <c r="B143" s="1" t="s">
        <v>9</v>
      </c>
      <c r="C143" s="1" t="s">
        <v>10</v>
      </c>
      <c r="D143" s="1">
        <v>3207.6</v>
      </c>
      <c r="E143" s="1">
        <v>0</v>
      </c>
      <c r="F143" s="1">
        <v>0</v>
      </c>
      <c r="G143" s="1">
        <v>0</v>
      </c>
      <c r="H143" s="1">
        <v>0</v>
      </c>
      <c r="I143" s="1">
        <v>-43302.6</v>
      </c>
    </row>
    <row r="144" spans="1:9" hidden="1" x14ac:dyDescent="0.25">
      <c r="A144" s="1" t="s">
        <v>17</v>
      </c>
      <c r="B144" s="1" t="s">
        <v>19</v>
      </c>
      <c r="C144" s="1" t="s">
        <v>18</v>
      </c>
      <c r="D144" s="1">
        <v>801.9</v>
      </c>
      <c r="E144" s="1">
        <v>0</v>
      </c>
      <c r="F144" s="1">
        <v>0</v>
      </c>
      <c r="G144" s="1">
        <v>0</v>
      </c>
      <c r="H144" s="1">
        <v>0</v>
      </c>
      <c r="I144" s="1">
        <v>-10825.65</v>
      </c>
    </row>
    <row r="145" spans="1:9" hidden="1" x14ac:dyDescent="0.25">
      <c r="A145" s="1" t="s">
        <v>17</v>
      </c>
      <c r="B145" s="1" t="s">
        <v>19</v>
      </c>
      <c r="C145" s="1" t="s">
        <v>10</v>
      </c>
      <c r="D145" s="1">
        <v>801.9</v>
      </c>
      <c r="E145" s="1">
        <v>0</v>
      </c>
      <c r="F145" s="1">
        <v>0</v>
      </c>
      <c r="G145" s="1">
        <v>0</v>
      </c>
      <c r="H145" s="1">
        <v>0</v>
      </c>
      <c r="I145" s="1">
        <v>-10825.65</v>
      </c>
    </row>
    <row r="146" spans="1:9" hidden="1" x14ac:dyDescent="0.25">
      <c r="A146" s="1" t="s">
        <v>17</v>
      </c>
      <c r="B146" s="1" t="s">
        <v>92</v>
      </c>
      <c r="C146" s="1" t="s">
        <v>18</v>
      </c>
      <c r="D146" s="1">
        <v>0</v>
      </c>
      <c r="E146" s="1">
        <v>-223.54</v>
      </c>
      <c r="F146" s="1">
        <v>0</v>
      </c>
      <c r="G146" s="1">
        <v>0</v>
      </c>
      <c r="H146" s="1">
        <v>0</v>
      </c>
      <c r="I146" s="1">
        <v>-5962.8220000000001</v>
      </c>
    </row>
    <row r="147" spans="1:9" hidden="1" x14ac:dyDescent="0.25">
      <c r="A147" s="1" t="s">
        <v>17</v>
      </c>
      <c r="B147" s="1" t="s">
        <v>92</v>
      </c>
      <c r="C147" s="1" t="s">
        <v>10</v>
      </c>
      <c r="D147" s="1">
        <v>0</v>
      </c>
      <c r="E147" s="1">
        <v>-223.54</v>
      </c>
      <c r="F147" s="1">
        <v>0</v>
      </c>
      <c r="G147" s="1">
        <v>0</v>
      </c>
      <c r="H147" s="1">
        <v>0</v>
      </c>
      <c r="I147" s="1">
        <v>-6905.9750000000004</v>
      </c>
    </row>
    <row r="148" spans="1:9" hidden="1" x14ac:dyDescent="0.25">
      <c r="A148" s="1" t="s">
        <v>17</v>
      </c>
      <c r="B148" s="1" t="s">
        <v>11</v>
      </c>
      <c r="C148" s="1" t="s">
        <v>18</v>
      </c>
      <c r="D148" s="1">
        <v>0</v>
      </c>
      <c r="E148" s="1">
        <v>182.29</v>
      </c>
      <c r="F148" s="1">
        <v>0</v>
      </c>
      <c r="G148" s="1">
        <v>0</v>
      </c>
      <c r="H148" s="1">
        <v>0</v>
      </c>
      <c r="I148" s="1">
        <v>4594.0550000000003</v>
      </c>
    </row>
    <row r="149" spans="1:9" hidden="1" x14ac:dyDescent="0.25">
      <c r="A149" s="1" t="s">
        <v>17</v>
      </c>
      <c r="B149" s="1" t="s">
        <v>11</v>
      </c>
      <c r="C149" s="1" t="s">
        <v>10</v>
      </c>
      <c r="D149" s="1">
        <v>0</v>
      </c>
      <c r="E149" s="1">
        <v>182.29</v>
      </c>
      <c r="F149" s="1">
        <v>0</v>
      </c>
      <c r="G149" s="1">
        <v>0</v>
      </c>
      <c r="H149" s="1">
        <v>0</v>
      </c>
      <c r="I149" s="1">
        <v>5294.6890000000003</v>
      </c>
    </row>
    <row r="150" spans="1:9" hidden="1" x14ac:dyDescent="0.25">
      <c r="A150" s="1" t="s">
        <v>17</v>
      </c>
      <c r="B150" s="1" t="s">
        <v>12</v>
      </c>
      <c r="C150" s="1" t="s">
        <v>18</v>
      </c>
      <c r="D150" s="1">
        <v>378.18</v>
      </c>
      <c r="E150" s="1">
        <v>0</v>
      </c>
      <c r="F150" s="1">
        <v>0</v>
      </c>
      <c r="G150" s="1">
        <v>0</v>
      </c>
      <c r="H150" s="1">
        <v>0</v>
      </c>
      <c r="I150" s="1">
        <v>-5105.3770000000004</v>
      </c>
    </row>
    <row r="151" spans="1:9" hidden="1" x14ac:dyDescent="0.25">
      <c r="A151" s="1" t="s">
        <v>17</v>
      </c>
      <c r="B151" s="1" t="s">
        <v>12</v>
      </c>
      <c r="C151" s="1" t="s">
        <v>10</v>
      </c>
      <c r="D151" s="1">
        <v>378.18</v>
      </c>
      <c r="E151" s="1">
        <v>0</v>
      </c>
      <c r="F151" s="1">
        <v>0</v>
      </c>
      <c r="G151" s="1">
        <v>0</v>
      </c>
      <c r="H151" s="1">
        <v>0</v>
      </c>
      <c r="I151" s="1">
        <v>-5105.3770000000004</v>
      </c>
    </row>
    <row r="152" spans="1:9" hidden="1" x14ac:dyDescent="0.25">
      <c r="A152" s="1" t="s">
        <v>17</v>
      </c>
      <c r="B152" s="1" t="s">
        <v>13</v>
      </c>
      <c r="C152" s="1" t="s">
        <v>18</v>
      </c>
      <c r="D152" s="1">
        <v>0</v>
      </c>
      <c r="E152" s="1">
        <v>220.97</v>
      </c>
      <c r="F152" s="1">
        <v>0</v>
      </c>
      <c r="G152" s="1">
        <v>0</v>
      </c>
      <c r="H152" s="1">
        <v>0</v>
      </c>
      <c r="I152" s="1">
        <v>5568.9139999999998</v>
      </c>
    </row>
    <row r="153" spans="1:9" hidden="1" x14ac:dyDescent="0.25">
      <c r="A153" s="1" t="s">
        <v>17</v>
      </c>
      <c r="B153" s="1" t="s">
        <v>13</v>
      </c>
      <c r="C153" s="1" t="s">
        <v>10</v>
      </c>
      <c r="D153" s="1">
        <v>0</v>
      </c>
      <c r="E153" s="1">
        <v>220.97</v>
      </c>
      <c r="F153" s="1">
        <v>0</v>
      </c>
      <c r="G153" s="1">
        <v>0</v>
      </c>
      <c r="H153" s="1">
        <v>0</v>
      </c>
      <c r="I153" s="1">
        <v>6418.2219999999998</v>
      </c>
    </row>
    <row r="154" spans="1:9" hidden="1" x14ac:dyDescent="0.25">
      <c r="A154" s="1" t="s">
        <v>17</v>
      </c>
      <c r="B154" s="1" t="s">
        <v>21</v>
      </c>
      <c r="C154" s="1" t="s">
        <v>18</v>
      </c>
      <c r="D154" s="1">
        <v>0</v>
      </c>
      <c r="E154" s="1">
        <v>-220.97</v>
      </c>
      <c r="F154" s="1">
        <v>0</v>
      </c>
      <c r="G154" s="1">
        <v>0</v>
      </c>
      <c r="H154" s="1">
        <v>0</v>
      </c>
      <c r="I154" s="1">
        <v>-5568.9139999999998</v>
      </c>
    </row>
    <row r="155" spans="1:9" hidden="1" x14ac:dyDescent="0.25">
      <c r="A155" s="1" t="s">
        <v>17</v>
      </c>
      <c r="B155" s="1" t="s">
        <v>21</v>
      </c>
      <c r="C155" s="1" t="s">
        <v>10</v>
      </c>
      <c r="D155" s="1">
        <v>0</v>
      </c>
      <c r="E155" s="1">
        <v>-220.97</v>
      </c>
      <c r="F155" s="1">
        <v>0</v>
      </c>
      <c r="G155" s="1">
        <v>0</v>
      </c>
      <c r="H155" s="1">
        <v>0</v>
      </c>
      <c r="I155" s="1">
        <v>-6418.2219999999998</v>
      </c>
    </row>
    <row r="156" spans="1:9" hidden="1" x14ac:dyDescent="0.25">
      <c r="A156" s="1" t="s">
        <v>14</v>
      </c>
      <c r="B156" s="1" t="s">
        <v>9</v>
      </c>
      <c r="C156" s="1" t="s">
        <v>18</v>
      </c>
      <c r="D156" s="1">
        <v>3499.2</v>
      </c>
      <c r="E156" s="1">
        <v>0</v>
      </c>
      <c r="F156" s="1">
        <v>0</v>
      </c>
      <c r="G156" s="1">
        <v>0</v>
      </c>
      <c r="H156" s="1">
        <v>0</v>
      </c>
      <c r="I156" s="1">
        <v>-47239.199999999997</v>
      </c>
    </row>
    <row r="157" spans="1:9" x14ac:dyDescent="0.25">
      <c r="A157" s="1" t="s">
        <v>14</v>
      </c>
      <c r="B157" s="1" t="s">
        <v>9</v>
      </c>
      <c r="C157" s="1" t="s">
        <v>10</v>
      </c>
      <c r="D157" s="1">
        <v>3499.2</v>
      </c>
      <c r="E157" s="1">
        <v>0</v>
      </c>
      <c r="F157" s="1">
        <v>0</v>
      </c>
      <c r="G157" s="1">
        <v>0</v>
      </c>
      <c r="H157" s="1">
        <v>0</v>
      </c>
      <c r="I157" s="1">
        <v>-47239.199999999997</v>
      </c>
    </row>
    <row r="158" spans="1:9" hidden="1" x14ac:dyDescent="0.25">
      <c r="A158" s="1" t="s">
        <v>14</v>
      </c>
      <c r="B158" s="1" t="s">
        <v>19</v>
      </c>
      <c r="C158" s="1" t="s">
        <v>18</v>
      </c>
      <c r="D158" s="1">
        <v>874.8</v>
      </c>
      <c r="E158" s="1">
        <v>0</v>
      </c>
      <c r="F158" s="1">
        <v>0</v>
      </c>
      <c r="G158" s="1">
        <v>0</v>
      </c>
      <c r="H158" s="1">
        <v>0</v>
      </c>
      <c r="I158" s="1">
        <v>-11809.8</v>
      </c>
    </row>
    <row r="159" spans="1:9" hidden="1" x14ac:dyDescent="0.25">
      <c r="A159" s="1" t="s">
        <v>14</v>
      </c>
      <c r="B159" s="1" t="s">
        <v>19</v>
      </c>
      <c r="C159" s="1" t="s">
        <v>10</v>
      </c>
      <c r="D159" s="1">
        <v>874.8</v>
      </c>
      <c r="E159" s="1">
        <v>0</v>
      </c>
      <c r="F159" s="1">
        <v>0</v>
      </c>
      <c r="G159" s="1">
        <v>0</v>
      </c>
      <c r="H159" s="1">
        <v>0</v>
      </c>
      <c r="I159" s="1">
        <v>-11809.8</v>
      </c>
    </row>
    <row r="160" spans="1:9" hidden="1" x14ac:dyDescent="0.25">
      <c r="A160" s="1" t="s">
        <v>14</v>
      </c>
      <c r="B160" s="1" t="s">
        <v>92</v>
      </c>
      <c r="C160" s="1" t="s">
        <v>18</v>
      </c>
      <c r="D160" s="1">
        <v>0</v>
      </c>
      <c r="E160" s="1">
        <v>-226.75</v>
      </c>
      <c r="F160" s="1">
        <v>0</v>
      </c>
      <c r="G160" s="1">
        <v>0</v>
      </c>
      <c r="H160" s="1">
        <v>0</v>
      </c>
      <c r="I160" s="1">
        <v>-6905.9750000000004</v>
      </c>
    </row>
    <row r="161" spans="1:9" x14ac:dyDescent="0.25">
      <c r="A161" s="1" t="s">
        <v>14</v>
      </c>
      <c r="B161" s="1" t="s">
        <v>92</v>
      </c>
      <c r="C161" s="1" t="s">
        <v>10</v>
      </c>
      <c r="D161" s="1">
        <v>0</v>
      </c>
      <c r="E161" s="1">
        <v>-226.75</v>
      </c>
      <c r="F161" s="1">
        <v>0</v>
      </c>
      <c r="G161" s="1">
        <v>0</v>
      </c>
      <c r="H161" s="1">
        <v>0</v>
      </c>
      <c r="I161" s="1">
        <v>-7961.085</v>
      </c>
    </row>
    <row r="162" spans="1:9" hidden="1" x14ac:dyDescent="0.25">
      <c r="A162" s="1" t="s">
        <v>14</v>
      </c>
      <c r="B162" s="1" t="s">
        <v>11</v>
      </c>
      <c r="C162" s="1" t="s">
        <v>18</v>
      </c>
      <c r="D162" s="1">
        <v>0</v>
      </c>
      <c r="E162" s="1">
        <v>187.06</v>
      </c>
      <c r="F162" s="1">
        <v>0</v>
      </c>
      <c r="G162" s="1">
        <v>0</v>
      </c>
      <c r="H162" s="1">
        <v>0</v>
      </c>
      <c r="I162" s="1">
        <v>5294.6890000000003</v>
      </c>
    </row>
    <row r="163" spans="1:9" hidden="1" x14ac:dyDescent="0.25">
      <c r="A163" s="1" t="s">
        <v>14</v>
      </c>
      <c r="B163" s="1" t="s">
        <v>11</v>
      </c>
      <c r="C163" s="1" t="s">
        <v>10</v>
      </c>
      <c r="D163" s="1">
        <v>0</v>
      </c>
      <c r="E163" s="1">
        <v>187.06</v>
      </c>
      <c r="F163" s="1">
        <v>0</v>
      </c>
      <c r="G163" s="1">
        <v>0</v>
      </c>
      <c r="H163" s="1">
        <v>0</v>
      </c>
      <c r="I163" s="1">
        <v>6094.1670000000004</v>
      </c>
    </row>
    <row r="164" spans="1:9" hidden="1" x14ac:dyDescent="0.25">
      <c r="A164" s="1" t="s">
        <v>14</v>
      </c>
      <c r="B164" s="1" t="s">
        <v>12</v>
      </c>
      <c r="C164" s="1" t="s">
        <v>18</v>
      </c>
      <c r="D164" s="1">
        <v>412.56</v>
      </c>
      <c r="E164" s="1">
        <v>0</v>
      </c>
      <c r="F164" s="1">
        <v>0</v>
      </c>
      <c r="G164" s="1">
        <v>0</v>
      </c>
      <c r="H164" s="1">
        <v>0</v>
      </c>
      <c r="I164" s="1">
        <v>-5569.5020000000004</v>
      </c>
    </row>
    <row r="165" spans="1:9" x14ac:dyDescent="0.25">
      <c r="A165" s="1" t="s">
        <v>14</v>
      </c>
      <c r="B165" s="1" t="s">
        <v>12</v>
      </c>
      <c r="C165" s="1" t="s">
        <v>10</v>
      </c>
      <c r="D165" s="1">
        <v>412.56</v>
      </c>
      <c r="E165" s="1">
        <v>0</v>
      </c>
      <c r="F165" s="1">
        <v>0</v>
      </c>
      <c r="G165" s="1">
        <v>0</v>
      </c>
      <c r="H165" s="1">
        <v>0</v>
      </c>
      <c r="I165" s="1">
        <v>-5569.5020000000004</v>
      </c>
    </row>
    <row r="166" spans="1:9" hidden="1" x14ac:dyDescent="0.25">
      <c r="A166" s="1" t="s">
        <v>14</v>
      </c>
      <c r="B166" s="1" t="s">
        <v>13</v>
      </c>
      <c r="C166" s="1" t="s">
        <v>18</v>
      </c>
      <c r="D166" s="1">
        <v>0</v>
      </c>
      <c r="E166" s="1">
        <v>226.76</v>
      </c>
      <c r="F166" s="1">
        <v>0</v>
      </c>
      <c r="G166" s="1">
        <v>0</v>
      </c>
      <c r="H166" s="1">
        <v>0</v>
      </c>
      <c r="I166" s="1">
        <v>6418.2219999999998</v>
      </c>
    </row>
    <row r="167" spans="1:9" hidden="1" x14ac:dyDescent="0.25">
      <c r="A167" s="1" t="s">
        <v>14</v>
      </c>
      <c r="B167" s="1" t="s">
        <v>13</v>
      </c>
      <c r="C167" s="1" t="s">
        <v>10</v>
      </c>
      <c r="D167" s="1">
        <v>0</v>
      </c>
      <c r="E167" s="1">
        <v>226.76</v>
      </c>
      <c r="F167" s="1">
        <v>0</v>
      </c>
      <c r="G167" s="1">
        <v>0</v>
      </c>
      <c r="H167" s="1">
        <v>0</v>
      </c>
      <c r="I167" s="1">
        <v>7387.3490000000002</v>
      </c>
    </row>
    <row r="168" spans="1:9" hidden="1" x14ac:dyDescent="0.25">
      <c r="A168" s="1" t="s">
        <v>14</v>
      </c>
      <c r="B168" s="1" t="s">
        <v>21</v>
      </c>
      <c r="C168" s="1" t="s">
        <v>18</v>
      </c>
      <c r="D168" s="1">
        <v>0</v>
      </c>
      <c r="E168" s="1">
        <v>-226.76</v>
      </c>
      <c r="F168" s="1">
        <v>0</v>
      </c>
      <c r="G168" s="1">
        <v>0</v>
      </c>
      <c r="H168" s="1">
        <v>0</v>
      </c>
      <c r="I168" s="1">
        <v>-6418.2219999999998</v>
      </c>
    </row>
    <row r="169" spans="1:9" hidden="1" x14ac:dyDescent="0.25">
      <c r="A169" s="1" t="s">
        <v>14</v>
      </c>
      <c r="B169" s="1" t="s">
        <v>21</v>
      </c>
      <c r="C169" s="1" t="s">
        <v>10</v>
      </c>
      <c r="D169" s="1">
        <v>0</v>
      </c>
      <c r="E169" s="1">
        <v>-226.76</v>
      </c>
      <c r="F169" s="1">
        <v>0</v>
      </c>
      <c r="G169" s="1">
        <v>0</v>
      </c>
      <c r="H169" s="1">
        <v>0</v>
      </c>
      <c r="I169" s="1">
        <v>-7387.3490000000002</v>
      </c>
    </row>
  </sheetData>
  <autoFilter ref="A1:I169">
    <filterColumn colId="0">
      <filters>
        <filter val="2F"/>
      </filters>
    </filterColumn>
    <filterColumn colId="1">
      <filters>
        <filter val="DL"/>
        <filter val="EQV"/>
        <filter val="EQ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 filterMode="1"/>
  <dimension ref="A1:I169"/>
  <sheetViews>
    <sheetView workbookViewId="0">
      <selection sqref="A1:I169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29</v>
      </c>
      <c r="B2" s="1" t="s">
        <v>9</v>
      </c>
      <c r="C2" s="1" t="s">
        <v>18</v>
      </c>
      <c r="D2" s="1">
        <v>291.60000000000002</v>
      </c>
      <c r="E2" s="1">
        <v>0</v>
      </c>
      <c r="F2" s="1">
        <v>0</v>
      </c>
      <c r="G2" s="1">
        <v>0</v>
      </c>
      <c r="H2" s="1">
        <v>0</v>
      </c>
      <c r="I2" s="1">
        <v>-3936.6</v>
      </c>
    </row>
    <row r="3" spans="1:9" hidden="1" x14ac:dyDescent="0.25">
      <c r="A3" s="1" t="s">
        <v>29</v>
      </c>
      <c r="B3" s="1" t="s">
        <v>9</v>
      </c>
      <c r="C3" s="1" t="s">
        <v>10</v>
      </c>
      <c r="D3" s="1">
        <v>291.60000000000002</v>
      </c>
      <c r="E3" s="1">
        <v>0</v>
      </c>
      <c r="F3" s="1">
        <v>0</v>
      </c>
      <c r="G3" s="1">
        <v>0</v>
      </c>
      <c r="H3" s="1">
        <v>0</v>
      </c>
      <c r="I3" s="1">
        <v>-3936.6</v>
      </c>
    </row>
    <row r="4" spans="1:9" hidden="1" x14ac:dyDescent="0.25">
      <c r="A4" s="1" t="s">
        <v>29</v>
      </c>
      <c r="B4" s="1" t="s">
        <v>19</v>
      </c>
      <c r="C4" s="1" t="s">
        <v>18</v>
      </c>
      <c r="D4" s="1">
        <v>72.900000000000006</v>
      </c>
      <c r="E4" s="1">
        <v>0</v>
      </c>
      <c r="F4" s="1">
        <v>0</v>
      </c>
      <c r="G4" s="1">
        <v>0</v>
      </c>
      <c r="H4" s="1">
        <v>0</v>
      </c>
      <c r="I4" s="1">
        <v>-984.15</v>
      </c>
    </row>
    <row r="5" spans="1:9" hidden="1" x14ac:dyDescent="0.25">
      <c r="A5" s="1" t="s">
        <v>29</v>
      </c>
      <c r="B5" s="1" t="s">
        <v>19</v>
      </c>
      <c r="C5" s="1" t="s">
        <v>10</v>
      </c>
      <c r="D5" s="1">
        <v>72.900000000000006</v>
      </c>
      <c r="E5" s="1">
        <v>0</v>
      </c>
      <c r="F5" s="1">
        <v>0</v>
      </c>
      <c r="G5" s="1">
        <v>0</v>
      </c>
      <c r="H5" s="1">
        <v>0</v>
      </c>
      <c r="I5" s="1">
        <v>-984.15</v>
      </c>
    </row>
    <row r="6" spans="1:9" hidden="1" x14ac:dyDescent="0.25">
      <c r="A6" s="1" t="s">
        <v>29</v>
      </c>
      <c r="B6" s="1" t="s">
        <v>92</v>
      </c>
      <c r="C6" s="1" t="s">
        <v>18</v>
      </c>
      <c r="D6" s="1">
        <v>0</v>
      </c>
      <c r="E6" s="1">
        <v>-34.58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29</v>
      </c>
      <c r="B7" s="1" t="s">
        <v>92</v>
      </c>
      <c r="C7" s="1" t="s">
        <v>10</v>
      </c>
      <c r="D7" s="1">
        <v>0</v>
      </c>
      <c r="E7" s="1">
        <v>-34.58</v>
      </c>
      <c r="F7" s="1">
        <v>0</v>
      </c>
      <c r="G7" s="1">
        <v>0</v>
      </c>
      <c r="H7" s="1">
        <v>0</v>
      </c>
      <c r="I7" s="1">
        <v>-139.57</v>
      </c>
    </row>
    <row r="8" spans="1:9" hidden="1" x14ac:dyDescent="0.25">
      <c r="A8" s="1" t="s">
        <v>29</v>
      </c>
      <c r="B8" s="1" t="s">
        <v>11</v>
      </c>
      <c r="C8" s="1" t="s">
        <v>18</v>
      </c>
      <c r="D8" s="1">
        <v>0</v>
      </c>
      <c r="E8" s="1">
        <v>38.51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29</v>
      </c>
      <c r="B9" s="1" t="s">
        <v>11</v>
      </c>
      <c r="C9" s="1" t="s">
        <v>10</v>
      </c>
      <c r="D9" s="1">
        <v>0</v>
      </c>
      <c r="E9" s="1">
        <v>38.51</v>
      </c>
      <c r="F9" s="1">
        <v>0</v>
      </c>
      <c r="G9" s="1">
        <v>0</v>
      </c>
      <c r="H9" s="1">
        <v>0</v>
      </c>
      <c r="I9" s="1">
        <v>155.20699999999999</v>
      </c>
    </row>
    <row r="10" spans="1:9" hidden="1" x14ac:dyDescent="0.25">
      <c r="A10" s="1" t="s">
        <v>29</v>
      </c>
      <c r="B10" s="1" t="s">
        <v>12</v>
      </c>
      <c r="C10" s="1" t="s">
        <v>18</v>
      </c>
      <c r="D10" s="1">
        <v>34.380000000000003</v>
      </c>
      <c r="E10" s="1">
        <v>0</v>
      </c>
      <c r="F10" s="1">
        <v>0</v>
      </c>
      <c r="G10" s="1">
        <v>0</v>
      </c>
      <c r="H10" s="1">
        <v>0</v>
      </c>
      <c r="I10" s="1">
        <v>-464.125</v>
      </c>
    </row>
    <row r="11" spans="1:9" hidden="1" x14ac:dyDescent="0.25">
      <c r="A11" s="1" t="s">
        <v>29</v>
      </c>
      <c r="B11" s="1" t="s">
        <v>12</v>
      </c>
      <c r="C11" s="1" t="s">
        <v>10</v>
      </c>
      <c r="D11" s="1">
        <v>34.380000000000003</v>
      </c>
      <c r="E11" s="1">
        <v>0</v>
      </c>
      <c r="F11" s="1">
        <v>0</v>
      </c>
      <c r="G11" s="1">
        <v>0</v>
      </c>
      <c r="H11" s="1">
        <v>0</v>
      </c>
      <c r="I11" s="1">
        <v>-464.125</v>
      </c>
    </row>
    <row r="12" spans="1:9" hidden="1" x14ac:dyDescent="0.25">
      <c r="A12" s="1" t="s">
        <v>29</v>
      </c>
      <c r="B12" s="1" t="s">
        <v>13</v>
      </c>
      <c r="C12" s="1" t="s">
        <v>18</v>
      </c>
      <c r="D12" s="1">
        <v>0</v>
      </c>
      <c r="E12" s="1">
        <v>46.69</v>
      </c>
      <c r="F12" s="1">
        <v>0</v>
      </c>
      <c r="G12" s="1">
        <v>0</v>
      </c>
      <c r="H12" s="1">
        <v>0</v>
      </c>
      <c r="I12" s="1">
        <v>0</v>
      </c>
    </row>
    <row r="13" spans="1:9" hidden="1" x14ac:dyDescent="0.25">
      <c r="A13" s="1" t="s">
        <v>29</v>
      </c>
      <c r="B13" s="1" t="s">
        <v>13</v>
      </c>
      <c r="C13" s="1" t="s">
        <v>10</v>
      </c>
      <c r="D13" s="1">
        <v>0</v>
      </c>
      <c r="E13" s="1">
        <v>46.69</v>
      </c>
      <c r="F13" s="1">
        <v>0</v>
      </c>
      <c r="G13" s="1">
        <v>0</v>
      </c>
      <c r="H13" s="1">
        <v>0</v>
      </c>
      <c r="I13" s="1">
        <v>188.14099999999999</v>
      </c>
    </row>
    <row r="14" spans="1:9" hidden="1" x14ac:dyDescent="0.25">
      <c r="A14" s="1" t="s">
        <v>29</v>
      </c>
      <c r="B14" s="1" t="s">
        <v>21</v>
      </c>
      <c r="C14" s="1" t="s">
        <v>18</v>
      </c>
      <c r="D14" s="1">
        <v>0</v>
      </c>
      <c r="E14" s="1">
        <v>-46.69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29</v>
      </c>
      <c r="B15" s="1" t="s">
        <v>21</v>
      </c>
      <c r="C15" s="1" t="s">
        <v>10</v>
      </c>
      <c r="D15" s="1">
        <v>0</v>
      </c>
      <c r="E15" s="1">
        <v>-46.69</v>
      </c>
      <c r="F15" s="1">
        <v>0</v>
      </c>
      <c r="G15" s="1">
        <v>0</v>
      </c>
      <c r="H15" s="1">
        <v>0</v>
      </c>
      <c r="I15" s="1">
        <v>-188.14099999999999</v>
      </c>
    </row>
    <row r="16" spans="1:9" hidden="1" x14ac:dyDescent="0.25">
      <c r="A16" s="1" t="s">
        <v>137</v>
      </c>
      <c r="B16" s="1" t="s">
        <v>9</v>
      </c>
      <c r="C16" s="1" t="s">
        <v>18</v>
      </c>
      <c r="D16" s="1">
        <v>583.20000000000005</v>
      </c>
      <c r="E16" s="1">
        <v>0</v>
      </c>
      <c r="F16" s="1">
        <v>0</v>
      </c>
      <c r="G16" s="1">
        <v>0</v>
      </c>
      <c r="H16" s="1">
        <v>0</v>
      </c>
      <c r="I16" s="1">
        <v>-7873.2</v>
      </c>
    </row>
    <row r="17" spans="1:9" hidden="1" x14ac:dyDescent="0.25">
      <c r="A17" s="1" t="s">
        <v>137</v>
      </c>
      <c r="B17" s="1" t="s">
        <v>9</v>
      </c>
      <c r="C17" s="1" t="s">
        <v>10</v>
      </c>
      <c r="D17" s="1">
        <v>583.20000000000005</v>
      </c>
      <c r="E17" s="1">
        <v>0</v>
      </c>
      <c r="F17" s="1">
        <v>0</v>
      </c>
      <c r="G17" s="1">
        <v>0</v>
      </c>
      <c r="H17" s="1">
        <v>0</v>
      </c>
      <c r="I17" s="1">
        <v>-7873.2</v>
      </c>
    </row>
    <row r="18" spans="1:9" hidden="1" x14ac:dyDescent="0.25">
      <c r="A18" s="1" t="s">
        <v>137</v>
      </c>
      <c r="B18" s="1" t="s">
        <v>19</v>
      </c>
      <c r="C18" s="1" t="s">
        <v>18</v>
      </c>
      <c r="D18" s="1">
        <v>145.80000000000001</v>
      </c>
      <c r="E18" s="1">
        <v>0</v>
      </c>
      <c r="F18" s="1">
        <v>0</v>
      </c>
      <c r="G18" s="1">
        <v>0</v>
      </c>
      <c r="H18" s="1">
        <v>0</v>
      </c>
      <c r="I18" s="1">
        <v>-1968.3</v>
      </c>
    </row>
    <row r="19" spans="1:9" hidden="1" x14ac:dyDescent="0.25">
      <c r="A19" s="1" t="s">
        <v>137</v>
      </c>
      <c r="B19" s="1" t="s">
        <v>19</v>
      </c>
      <c r="C19" s="1" t="s">
        <v>10</v>
      </c>
      <c r="D19" s="1">
        <v>145.80000000000001</v>
      </c>
      <c r="E19" s="1">
        <v>0</v>
      </c>
      <c r="F19" s="1">
        <v>0</v>
      </c>
      <c r="G19" s="1">
        <v>0</v>
      </c>
      <c r="H19" s="1">
        <v>0</v>
      </c>
      <c r="I19" s="1">
        <v>-1968.3</v>
      </c>
    </row>
    <row r="20" spans="1:9" hidden="1" x14ac:dyDescent="0.25">
      <c r="A20" s="1" t="s">
        <v>137</v>
      </c>
      <c r="B20" s="1" t="s">
        <v>92</v>
      </c>
      <c r="C20" s="1" t="s">
        <v>18</v>
      </c>
      <c r="D20" s="1">
        <v>0</v>
      </c>
      <c r="E20" s="1">
        <v>-66.31</v>
      </c>
      <c r="F20" s="1">
        <v>0</v>
      </c>
      <c r="G20" s="1">
        <v>0</v>
      </c>
      <c r="H20" s="1">
        <v>0</v>
      </c>
      <c r="I20" s="1">
        <v>-139.57</v>
      </c>
    </row>
    <row r="21" spans="1:9" hidden="1" x14ac:dyDescent="0.25">
      <c r="A21" s="1" t="s">
        <v>137</v>
      </c>
      <c r="B21" s="1" t="s">
        <v>92</v>
      </c>
      <c r="C21" s="1" t="s">
        <v>10</v>
      </c>
      <c r="D21" s="1">
        <v>0</v>
      </c>
      <c r="E21" s="1">
        <v>-66.31</v>
      </c>
      <c r="F21" s="1">
        <v>0</v>
      </c>
      <c r="G21" s="1">
        <v>0</v>
      </c>
      <c r="H21" s="1">
        <v>0</v>
      </c>
      <c r="I21" s="1">
        <v>-408.779</v>
      </c>
    </row>
    <row r="22" spans="1:9" hidden="1" x14ac:dyDescent="0.25">
      <c r="A22" s="1" t="s">
        <v>137</v>
      </c>
      <c r="B22" s="1" t="s">
        <v>11</v>
      </c>
      <c r="C22" s="1" t="s">
        <v>18</v>
      </c>
      <c r="D22" s="1">
        <v>0</v>
      </c>
      <c r="E22" s="1">
        <v>65.52</v>
      </c>
      <c r="F22" s="1">
        <v>0</v>
      </c>
      <c r="G22" s="1">
        <v>0</v>
      </c>
      <c r="H22" s="1">
        <v>0</v>
      </c>
      <c r="I22" s="1">
        <v>155.20699999999999</v>
      </c>
    </row>
    <row r="23" spans="1:9" hidden="1" x14ac:dyDescent="0.25">
      <c r="A23" s="1" t="s">
        <v>137</v>
      </c>
      <c r="B23" s="1" t="s">
        <v>11</v>
      </c>
      <c r="C23" s="1" t="s">
        <v>10</v>
      </c>
      <c r="D23" s="1">
        <v>0</v>
      </c>
      <c r="E23" s="1">
        <v>65.52</v>
      </c>
      <c r="F23" s="1">
        <v>0</v>
      </c>
      <c r="G23" s="1">
        <v>0</v>
      </c>
      <c r="H23" s="1">
        <v>0</v>
      </c>
      <c r="I23" s="1">
        <v>415.81700000000001</v>
      </c>
    </row>
    <row r="24" spans="1:9" hidden="1" x14ac:dyDescent="0.25">
      <c r="A24" s="1" t="s">
        <v>137</v>
      </c>
      <c r="B24" s="1" t="s">
        <v>12</v>
      </c>
      <c r="C24" s="1" t="s">
        <v>18</v>
      </c>
      <c r="D24" s="1">
        <v>68.760000000000005</v>
      </c>
      <c r="E24" s="1">
        <v>0</v>
      </c>
      <c r="F24" s="1">
        <v>0</v>
      </c>
      <c r="G24" s="1">
        <v>0</v>
      </c>
      <c r="H24" s="1">
        <v>0</v>
      </c>
      <c r="I24" s="1">
        <v>-928.25</v>
      </c>
    </row>
    <row r="25" spans="1:9" hidden="1" x14ac:dyDescent="0.25">
      <c r="A25" s="1" t="s">
        <v>137</v>
      </c>
      <c r="B25" s="1" t="s">
        <v>12</v>
      </c>
      <c r="C25" s="1" t="s">
        <v>10</v>
      </c>
      <c r="D25" s="1">
        <v>68.760000000000005</v>
      </c>
      <c r="E25" s="1">
        <v>0</v>
      </c>
      <c r="F25" s="1">
        <v>0</v>
      </c>
      <c r="G25" s="1">
        <v>0</v>
      </c>
      <c r="H25" s="1">
        <v>0</v>
      </c>
      <c r="I25" s="1">
        <v>-928.25</v>
      </c>
    </row>
    <row r="26" spans="1:9" hidden="1" x14ac:dyDescent="0.25">
      <c r="A26" s="1" t="s">
        <v>137</v>
      </c>
      <c r="B26" s="1" t="s">
        <v>13</v>
      </c>
      <c r="C26" s="1" t="s">
        <v>18</v>
      </c>
      <c r="D26" s="1">
        <v>0</v>
      </c>
      <c r="E26" s="1">
        <v>79.42</v>
      </c>
      <c r="F26" s="1">
        <v>0</v>
      </c>
      <c r="G26" s="1">
        <v>0</v>
      </c>
      <c r="H26" s="1">
        <v>0</v>
      </c>
      <c r="I26" s="1">
        <v>188.14099999999999</v>
      </c>
    </row>
    <row r="27" spans="1:9" hidden="1" x14ac:dyDescent="0.25">
      <c r="A27" s="1" t="s">
        <v>137</v>
      </c>
      <c r="B27" s="1" t="s">
        <v>13</v>
      </c>
      <c r="C27" s="1" t="s">
        <v>10</v>
      </c>
      <c r="D27" s="1">
        <v>0</v>
      </c>
      <c r="E27" s="1">
        <v>79.42</v>
      </c>
      <c r="F27" s="1">
        <v>0</v>
      </c>
      <c r="G27" s="1">
        <v>0</v>
      </c>
      <c r="H27" s="1">
        <v>0</v>
      </c>
      <c r="I27" s="1">
        <v>504.053</v>
      </c>
    </row>
    <row r="28" spans="1:9" hidden="1" x14ac:dyDescent="0.25">
      <c r="A28" s="1" t="s">
        <v>137</v>
      </c>
      <c r="B28" s="1" t="s">
        <v>21</v>
      </c>
      <c r="C28" s="1" t="s">
        <v>18</v>
      </c>
      <c r="D28" s="1">
        <v>0</v>
      </c>
      <c r="E28" s="1">
        <v>-79.42</v>
      </c>
      <c r="F28" s="1">
        <v>0</v>
      </c>
      <c r="G28" s="1">
        <v>0</v>
      </c>
      <c r="H28" s="1">
        <v>0</v>
      </c>
      <c r="I28" s="1">
        <v>-188.14099999999999</v>
      </c>
    </row>
    <row r="29" spans="1:9" hidden="1" x14ac:dyDescent="0.25">
      <c r="A29" s="1" t="s">
        <v>137</v>
      </c>
      <c r="B29" s="1" t="s">
        <v>21</v>
      </c>
      <c r="C29" s="1" t="s">
        <v>10</v>
      </c>
      <c r="D29" s="1">
        <v>0</v>
      </c>
      <c r="E29" s="1">
        <v>-79.42</v>
      </c>
      <c r="F29" s="1">
        <v>0</v>
      </c>
      <c r="G29" s="1">
        <v>0</v>
      </c>
      <c r="H29" s="1">
        <v>0</v>
      </c>
      <c r="I29" s="1">
        <v>-504.053</v>
      </c>
    </row>
    <row r="30" spans="1:9" hidden="1" x14ac:dyDescent="0.25">
      <c r="A30" s="1" t="s">
        <v>138</v>
      </c>
      <c r="B30" s="1" t="s">
        <v>9</v>
      </c>
      <c r="C30" s="1" t="s">
        <v>18</v>
      </c>
      <c r="D30" s="1">
        <v>874.8</v>
      </c>
      <c r="E30" s="1">
        <v>0</v>
      </c>
      <c r="F30" s="1">
        <v>0</v>
      </c>
      <c r="G30" s="1">
        <v>0</v>
      </c>
      <c r="H30" s="1">
        <v>0</v>
      </c>
      <c r="I30" s="1">
        <v>-11809.8</v>
      </c>
    </row>
    <row r="31" spans="1:9" hidden="1" x14ac:dyDescent="0.25">
      <c r="A31" s="1" t="s">
        <v>138</v>
      </c>
      <c r="B31" s="1" t="s">
        <v>9</v>
      </c>
      <c r="C31" s="1" t="s">
        <v>10</v>
      </c>
      <c r="D31" s="1">
        <v>874.8</v>
      </c>
      <c r="E31" s="1">
        <v>0</v>
      </c>
      <c r="F31" s="1">
        <v>0</v>
      </c>
      <c r="G31" s="1">
        <v>0</v>
      </c>
      <c r="H31" s="1">
        <v>0</v>
      </c>
      <c r="I31" s="1">
        <v>-11809.8</v>
      </c>
    </row>
    <row r="32" spans="1:9" hidden="1" x14ac:dyDescent="0.25">
      <c r="A32" s="1" t="s">
        <v>138</v>
      </c>
      <c r="B32" s="1" t="s">
        <v>19</v>
      </c>
      <c r="C32" s="1" t="s">
        <v>18</v>
      </c>
      <c r="D32" s="1">
        <v>218.7</v>
      </c>
      <c r="E32" s="1">
        <v>0</v>
      </c>
      <c r="F32" s="1">
        <v>0</v>
      </c>
      <c r="G32" s="1">
        <v>0</v>
      </c>
      <c r="H32" s="1">
        <v>0</v>
      </c>
      <c r="I32" s="1">
        <v>-2952.45</v>
      </c>
    </row>
    <row r="33" spans="1:9" hidden="1" x14ac:dyDescent="0.25">
      <c r="A33" s="1" t="s">
        <v>138</v>
      </c>
      <c r="B33" s="1" t="s">
        <v>19</v>
      </c>
      <c r="C33" s="1" t="s">
        <v>10</v>
      </c>
      <c r="D33" s="1">
        <v>218.7</v>
      </c>
      <c r="E33" s="1">
        <v>0</v>
      </c>
      <c r="F33" s="1">
        <v>0</v>
      </c>
      <c r="G33" s="1">
        <v>0</v>
      </c>
      <c r="H33" s="1">
        <v>0</v>
      </c>
      <c r="I33" s="1">
        <v>-2952.45</v>
      </c>
    </row>
    <row r="34" spans="1:9" hidden="1" x14ac:dyDescent="0.25">
      <c r="A34" s="1" t="s">
        <v>138</v>
      </c>
      <c r="B34" s="1" t="s">
        <v>92</v>
      </c>
      <c r="C34" s="1" t="s">
        <v>18</v>
      </c>
      <c r="D34" s="1">
        <v>0</v>
      </c>
      <c r="E34" s="1">
        <v>-95.19</v>
      </c>
      <c r="F34" s="1">
        <v>0</v>
      </c>
      <c r="G34" s="1">
        <v>0</v>
      </c>
      <c r="H34" s="1">
        <v>0</v>
      </c>
      <c r="I34" s="1">
        <v>-408.779</v>
      </c>
    </row>
    <row r="35" spans="1:9" hidden="1" x14ac:dyDescent="0.25">
      <c r="A35" s="1" t="s">
        <v>138</v>
      </c>
      <c r="B35" s="1" t="s">
        <v>92</v>
      </c>
      <c r="C35" s="1" t="s">
        <v>10</v>
      </c>
      <c r="D35" s="1">
        <v>0</v>
      </c>
      <c r="E35" s="1">
        <v>-95.19</v>
      </c>
      <c r="F35" s="1">
        <v>0</v>
      </c>
      <c r="G35" s="1">
        <v>0</v>
      </c>
      <c r="H35" s="1">
        <v>0</v>
      </c>
      <c r="I35" s="1">
        <v>-797.76599999999996</v>
      </c>
    </row>
    <row r="36" spans="1:9" hidden="1" x14ac:dyDescent="0.25">
      <c r="A36" s="1" t="s">
        <v>138</v>
      </c>
      <c r="B36" s="1" t="s">
        <v>11</v>
      </c>
      <c r="C36" s="1" t="s">
        <v>18</v>
      </c>
      <c r="D36" s="1">
        <v>0</v>
      </c>
      <c r="E36" s="1">
        <v>86.41</v>
      </c>
      <c r="F36" s="1">
        <v>0</v>
      </c>
      <c r="G36" s="1">
        <v>0</v>
      </c>
      <c r="H36" s="1">
        <v>0</v>
      </c>
      <c r="I36" s="1">
        <v>415.81700000000001</v>
      </c>
    </row>
    <row r="37" spans="1:9" hidden="1" x14ac:dyDescent="0.25">
      <c r="A37" s="1" t="s">
        <v>138</v>
      </c>
      <c r="B37" s="1" t="s">
        <v>11</v>
      </c>
      <c r="C37" s="1" t="s">
        <v>10</v>
      </c>
      <c r="D37" s="1">
        <v>0</v>
      </c>
      <c r="E37" s="1">
        <v>86.41</v>
      </c>
      <c r="F37" s="1">
        <v>0</v>
      </c>
      <c r="G37" s="1">
        <v>0</v>
      </c>
      <c r="H37" s="1">
        <v>0</v>
      </c>
      <c r="I37" s="1">
        <v>756.31600000000003</v>
      </c>
    </row>
    <row r="38" spans="1:9" hidden="1" x14ac:dyDescent="0.25">
      <c r="A38" s="1" t="s">
        <v>138</v>
      </c>
      <c r="B38" s="1" t="s">
        <v>12</v>
      </c>
      <c r="C38" s="1" t="s">
        <v>18</v>
      </c>
      <c r="D38" s="1">
        <v>103.14</v>
      </c>
      <c r="E38" s="1">
        <v>0</v>
      </c>
      <c r="F38" s="1">
        <v>0</v>
      </c>
      <c r="G38" s="1">
        <v>0</v>
      </c>
      <c r="H38" s="1">
        <v>0</v>
      </c>
      <c r="I38" s="1">
        <v>-1392.375</v>
      </c>
    </row>
    <row r="39" spans="1:9" hidden="1" x14ac:dyDescent="0.25">
      <c r="A39" s="1" t="s">
        <v>138</v>
      </c>
      <c r="B39" s="1" t="s">
        <v>12</v>
      </c>
      <c r="C39" s="1" t="s">
        <v>10</v>
      </c>
      <c r="D39" s="1">
        <v>103.14</v>
      </c>
      <c r="E39" s="1">
        <v>0</v>
      </c>
      <c r="F39" s="1">
        <v>0</v>
      </c>
      <c r="G39" s="1">
        <v>0</v>
      </c>
      <c r="H39" s="1">
        <v>0</v>
      </c>
      <c r="I39" s="1">
        <v>-1392.375</v>
      </c>
    </row>
    <row r="40" spans="1:9" hidden="1" x14ac:dyDescent="0.25">
      <c r="A40" s="1" t="s">
        <v>138</v>
      </c>
      <c r="B40" s="1" t="s">
        <v>13</v>
      </c>
      <c r="C40" s="1" t="s">
        <v>18</v>
      </c>
      <c r="D40" s="1">
        <v>0</v>
      </c>
      <c r="E40" s="1">
        <v>104.75</v>
      </c>
      <c r="F40" s="1">
        <v>0</v>
      </c>
      <c r="G40" s="1">
        <v>0</v>
      </c>
      <c r="H40" s="1">
        <v>0</v>
      </c>
      <c r="I40" s="1">
        <v>504.053</v>
      </c>
    </row>
    <row r="41" spans="1:9" hidden="1" x14ac:dyDescent="0.25">
      <c r="A41" s="1" t="s">
        <v>138</v>
      </c>
      <c r="B41" s="1" t="s">
        <v>13</v>
      </c>
      <c r="C41" s="1" t="s">
        <v>10</v>
      </c>
      <c r="D41" s="1">
        <v>0</v>
      </c>
      <c r="E41" s="1">
        <v>104.75</v>
      </c>
      <c r="F41" s="1">
        <v>0</v>
      </c>
      <c r="G41" s="1">
        <v>0</v>
      </c>
      <c r="H41" s="1">
        <v>0</v>
      </c>
      <c r="I41" s="1">
        <v>916.80600000000004</v>
      </c>
    </row>
    <row r="42" spans="1:9" hidden="1" x14ac:dyDescent="0.25">
      <c r="A42" s="1" t="s">
        <v>138</v>
      </c>
      <c r="B42" s="1" t="s">
        <v>21</v>
      </c>
      <c r="C42" s="1" t="s">
        <v>18</v>
      </c>
      <c r="D42" s="1">
        <v>0</v>
      </c>
      <c r="E42" s="1">
        <v>-104.75</v>
      </c>
      <c r="F42" s="1">
        <v>0</v>
      </c>
      <c r="G42" s="1">
        <v>0</v>
      </c>
      <c r="H42" s="1">
        <v>0</v>
      </c>
      <c r="I42" s="1">
        <v>-504.053</v>
      </c>
    </row>
    <row r="43" spans="1:9" hidden="1" x14ac:dyDescent="0.25">
      <c r="A43" s="1" t="s">
        <v>138</v>
      </c>
      <c r="B43" s="1" t="s">
        <v>21</v>
      </c>
      <c r="C43" s="1" t="s">
        <v>10</v>
      </c>
      <c r="D43" s="1">
        <v>0</v>
      </c>
      <c r="E43" s="1">
        <v>-104.75</v>
      </c>
      <c r="F43" s="1">
        <v>0</v>
      </c>
      <c r="G43" s="1">
        <v>0</v>
      </c>
      <c r="H43" s="1">
        <v>0</v>
      </c>
      <c r="I43" s="1">
        <v>-916.80600000000004</v>
      </c>
    </row>
    <row r="44" spans="1:9" hidden="1" x14ac:dyDescent="0.25">
      <c r="A44" s="1" t="s">
        <v>139</v>
      </c>
      <c r="B44" s="1" t="s">
        <v>9</v>
      </c>
      <c r="C44" s="1" t="s">
        <v>18</v>
      </c>
      <c r="D44" s="1">
        <v>1166.4000000000001</v>
      </c>
      <c r="E44" s="1">
        <v>0</v>
      </c>
      <c r="F44" s="1">
        <v>0</v>
      </c>
      <c r="G44" s="1">
        <v>0</v>
      </c>
      <c r="H44" s="1">
        <v>0</v>
      </c>
      <c r="I44" s="1">
        <v>-15746.4</v>
      </c>
    </row>
    <row r="45" spans="1:9" hidden="1" x14ac:dyDescent="0.25">
      <c r="A45" s="1" t="s">
        <v>139</v>
      </c>
      <c r="B45" s="1" t="s">
        <v>9</v>
      </c>
      <c r="C45" s="1" t="s">
        <v>10</v>
      </c>
      <c r="D45" s="1">
        <v>1166.4000000000001</v>
      </c>
      <c r="E45" s="1">
        <v>0</v>
      </c>
      <c r="F45" s="1">
        <v>0</v>
      </c>
      <c r="G45" s="1">
        <v>0</v>
      </c>
      <c r="H45" s="1">
        <v>0</v>
      </c>
      <c r="I45" s="1">
        <v>-15746.4</v>
      </c>
    </row>
    <row r="46" spans="1:9" hidden="1" x14ac:dyDescent="0.25">
      <c r="A46" s="1" t="s">
        <v>139</v>
      </c>
      <c r="B46" s="1" t="s">
        <v>19</v>
      </c>
      <c r="C46" s="1" t="s">
        <v>18</v>
      </c>
      <c r="D46" s="1">
        <v>291.60000000000002</v>
      </c>
      <c r="E46" s="1">
        <v>0</v>
      </c>
      <c r="F46" s="1">
        <v>0</v>
      </c>
      <c r="G46" s="1">
        <v>0</v>
      </c>
      <c r="H46" s="1">
        <v>0</v>
      </c>
      <c r="I46" s="1">
        <v>-3936.6</v>
      </c>
    </row>
    <row r="47" spans="1:9" hidden="1" x14ac:dyDescent="0.25">
      <c r="A47" s="1" t="s">
        <v>139</v>
      </c>
      <c r="B47" s="1" t="s">
        <v>19</v>
      </c>
      <c r="C47" s="1" t="s">
        <v>10</v>
      </c>
      <c r="D47" s="1">
        <v>291.60000000000002</v>
      </c>
      <c r="E47" s="1">
        <v>0</v>
      </c>
      <c r="F47" s="1">
        <v>0</v>
      </c>
      <c r="G47" s="1">
        <v>0</v>
      </c>
      <c r="H47" s="1">
        <v>0</v>
      </c>
      <c r="I47" s="1">
        <v>-3936.6</v>
      </c>
    </row>
    <row r="48" spans="1:9" hidden="1" x14ac:dyDescent="0.25">
      <c r="A48" s="1" t="s">
        <v>139</v>
      </c>
      <c r="B48" s="1" t="s">
        <v>92</v>
      </c>
      <c r="C48" s="1" t="s">
        <v>18</v>
      </c>
      <c r="D48" s="1">
        <v>0</v>
      </c>
      <c r="E48" s="1">
        <v>-121.22</v>
      </c>
      <c r="F48" s="1">
        <v>0</v>
      </c>
      <c r="G48" s="1">
        <v>0</v>
      </c>
      <c r="H48" s="1">
        <v>0</v>
      </c>
      <c r="I48" s="1">
        <v>-797.76599999999996</v>
      </c>
    </row>
    <row r="49" spans="1:9" hidden="1" x14ac:dyDescent="0.25">
      <c r="A49" s="1" t="s">
        <v>139</v>
      </c>
      <c r="B49" s="1" t="s">
        <v>92</v>
      </c>
      <c r="C49" s="1" t="s">
        <v>10</v>
      </c>
      <c r="D49" s="1">
        <v>0</v>
      </c>
      <c r="E49" s="1">
        <v>-121.22</v>
      </c>
      <c r="F49" s="1">
        <v>0</v>
      </c>
      <c r="G49" s="1">
        <v>0</v>
      </c>
      <c r="H49" s="1">
        <v>0</v>
      </c>
      <c r="I49" s="1">
        <v>-1296.4269999999999</v>
      </c>
    </row>
    <row r="50" spans="1:9" hidden="1" x14ac:dyDescent="0.25">
      <c r="A50" s="1" t="s">
        <v>139</v>
      </c>
      <c r="B50" s="1" t="s">
        <v>11</v>
      </c>
      <c r="C50" s="1" t="s">
        <v>18</v>
      </c>
      <c r="D50" s="1">
        <v>0</v>
      </c>
      <c r="E50" s="1">
        <v>103.68</v>
      </c>
      <c r="F50" s="1">
        <v>0</v>
      </c>
      <c r="G50" s="1">
        <v>0</v>
      </c>
      <c r="H50" s="1">
        <v>0</v>
      </c>
      <c r="I50" s="1">
        <v>756.31600000000003</v>
      </c>
    </row>
    <row r="51" spans="1:9" hidden="1" x14ac:dyDescent="0.25">
      <c r="A51" s="1" t="s">
        <v>139</v>
      </c>
      <c r="B51" s="1" t="s">
        <v>11</v>
      </c>
      <c r="C51" s="1" t="s">
        <v>10</v>
      </c>
      <c r="D51" s="1">
        <v>0</v>
      </c>
      <c r="E51" s="1">
        <v>103.68</v>
      </c>
      <c r="F51" s="1">
        <v>0</v>
      </c>
      <c r="G51" s="1">
        <v>0</v>
      </c>
      <c r="H51" s="1">
        <v>0</v>
      </c>
      <c r="I51" s="1">
        <v>1161.509</v>
      </c>
    </row>
    <row r="52" spans="1:9" hidden="1" x14ac:dyDescent="0.25">
      <c r="A52" s="1" t="s">
        <v>139</v>
      </c>
      <c r="B52" s="1" t="s">
        <v>12</v>
      </c>
      <c r="C52" s="1" t="s">
        <v>18</v>
      </c>
      <c r="D52" s="1">
        <v>137.52000000000001</v>
      </c>
      <c r="E52" s="1">
        <v>0</v>
      </c>
      <c r="F52" s="1">
        <v>0</v>
      </c>
      <c r="G52" s="1">
        <v>0</v>
      </c>
      <c r="H52" s="1">
        <v>0</v>
      </c>
      <c r="I52" s="1">
        <v>-1856.501</v>
      </c>
    </row>
    <row r="53" spans="1:9" hidden="1" x14ac:dyDescent="0.25">
      <c r="A53" s="1" t="s">
        <v>139</v>
      </c>
      <c r="B53" s="1" t="s">
        <v>12</v>
      </c>
      <c r="C53" s="1" t="s">
        <v>10</v>
      </c>
      <c r="D53" s="1">
        <v>137.52000000000001</v>
      </c>
      <c r="E53" s="1">
        <v>0</v>
      </c>
      <c r="F53" s="1">
        <v>0</v>
      </c>
      <c r="G53" s="1">
        <v>0</v>
      </c>
      <c r="H53" s="1">
        <v>0</v>
      </c>
      <c r="I53" s="1">
        <v>-1856.501</v>
      </c>
    </row>
    <row r="54" spans="1:9" hidden="1" x14ac:dyDescent="0.25">
      <c r="A54" s="1" t="s">
        <v>139</v>
      </c>
      <c r="B54" s="1" t="s">
        <v>13</v>
      </c>
      <c r="C54" s="1" t="s">
        <v>18</v>
      </c>
      <c r="D54" s="1">
        <v>0</v>
      </c>
      <c r="E54" s="1">
        <v>125.68</v>
      </c>
      <c r="F54" s="1">
        <v>0</v>
      </c>
      <c r="G54" s="1">
        <v>0</v>
      </c>
      <c r="H54" s="1">
        <v>0</v>
      </c>
      <c r="I54" s="1">
        <v>916.80600000000004</v>
      </c>
    </row>
    <row r="55" spans="1:9" hidden="1" x14ac:dyDescent="0.25">
      <c r="A55" s="1" t="s">
        <v>139</v>
      </c>
      <c r="B55" s="1" t="s">
        <v>13</v>
      </c>
      <c r="C55" s="1" t="s">
        <v>10</v>
      </c>
      <c r="D55" s="1">
        <v>0</v>
      </c>
      <c r="E55" s="1">
        <v>125.68</v>
      </c>
      <c r="F55" s="1">
        <v>0</v>
      </c>
      <c r="G55" s="1">
        <v>0</v>
      </c>
      <c r="H55" s="1">
        <v>0</v>
      </c>
      <c r="I55" s="1">
        <v>1407.981</v>
      </c>
    </row>
    <row r="56" spans="1:9" hidden="1" x14ac:dyDescent="0.25">
      <c r="A56" s="1" t="s">
        <v>139</v>
      </c>
      <c r="B56" s="1" t="s">
        <v>21</v>
      </c>
      <c r="C56" s="1" t="s">
        <v>18</v>
      </c>
      <c r="D56" s="1">
        <v>0</v>
      </c>
      <c r="E56" s="1">
        <v>-125.68</v>
      </c>
      <c r="F56" s="1">
        <v>0</v>
      </c>
      <c r="G56" s="1">
        <v>0</v>
      </c>
      <c r="H56" s="1">
        <v>0</v>
      </c>
      <c r="I56" s="1">
        <v>-916.80600000000004</v>
      </c>
    </row>
    <row r="57" spans="1:9" hidden="1" x14ac:dyDescent="0.25">
      <c r="A57" s="1" t="s">
        <v>139</v>
      </c>
      <c r="B57" s="1" t="s">
        <v>21</v>
      </c>
      <c r="C57" s="1" t="s">
        <v>10</v>
      </c>
      <c r="D57" s="1">
        <v>0</v>
      </c>
      <c r="E57" s="1">
        <v>-125.68</v>
      </c>
      <c r="F57" s="1">
        <v>0</v>
      </c>
      <c r="G57" s="1">
        <v>0</v>
      </c>
      <c r="H57" s="1">
        <v>0</v>
      </c>
      <c r="I57" s="1">
        <v>-1407.981</v>
      </c>
    </row>
    <row r="58" spans="1:9" hidden="1" x14ac:dyDescent="0.25">
      <c r="A58" s="1" t="s">
        <v>140</v>
      </c>
      <c r="B58" s="1" t="s">
        <v>9</v>
      </c>
      <c r="C58" s="1" t="s">
        <v>18</v>
      </c>
      <c r="D58" s="1">
        <v>1458</v>
      </c>
      <c r="E58" s="1">
        <v>0</v>
      </c>
      <c r="F58" s="1">
        <v>0</v>
      </c>
      <c r="G58" s="1">
        <v>0</v>
      </c>
      <c r="H58" s="1">
        <v>0</v>
      </c>
      <c r="I58" s="1">
        <v>-19683</v>
      </c>
    </row>
    <row r="59" spans="1:9" hidden="1" x14ac:dyDescent="0.25">
      <c r="A59" s="1" t="s">
        <v>140</v>
      </c>
      <c r="B59" s="1" t="s">
        <v>9</v>
      </c>
      <c r="C59" s="1" t="s">
        <v>10</v>
      </c>
      <c r="D59" s="1">
        <v>1458</v>
      </c>
      <c r="E59" s="1">
        <v>0</v>
      </c>
      <c r="F59" s="1">
        <v>0</v>
      </c>
      <c r="G59" s="1">
        <v>0</v>
      </c>
      <c r="H59" s="1">
        <v>0</v>
      </c>
      <c r="I59" s="1">
        <v>-19683</v>
      </c>
    </row>
    <row r="60" spans="1:9" hidden="1" x14ac:dyDescent="0.25">
      <c r="A60" s="1" t="s">
        <v>140</v>
      </c>
      <c r="B60" s="1" t="s">
        <v>19</v>
      </c>
      <c r="C60" s="1" t="s">
        <v>18</v>
      </c>
      <c r="D60" s="1">
        <v>364.5</v>
      </c>
      <c r="E60" s="1">
        <v>0</v>
      </c>
      <c r="F60" s="1">
        <v>0</v>
      </c>
      <c r="G60" s="1">
        <v>0</v>
      </c>
      <c r="H60" s="1">
        <v>0</v>
      </c>
      <c r="I60" s="1">
        <v>-4920.75</v>
      </c>
    </row>
    <row r="61" spans="1:9" hidden="1" x14ac:dyDescent="0.25">
      <c r="A61" s="1" t="s">
        <v>140</v>
      </c>
      <c r="B61" s="1" t="s">
        <v>19</v>
      </c>
      <c r="C61" s="1" t="s">
        <v>10</v>
      </c>
      <c r="D61" s="1">
        <v>364.5</v>
      </c>
      <c r="E61" s="1">
        <v>0</v>
      </c>
      <c r="F61" s="1">
        <v>0</v>
      </c>
      <c r="G61" s="1">
        <v>0</v>
      </c>
      <c r="H61" s="1">
        <v>0</v>
      </c>
      <c r="I61" s="1">
        <v>-4920.75</v>
      </c>
    </row>
    <row r="62" spans="1:9" hidden="1" x14ac:dyDescent="0.25">
      <c r="A62" s="1" t="s">
        <v>140</v>
      </c>
      <c r="B62" s="1" t="s">
        <v>92</v>
      </c>
      <c r="C62" s="1" t="s">
        <v>18</v>
      </c>
      <c r="D62" s="1">
        <v>0</v>
      </c>
      <c r="E62" s="1">
        <v>-144.38999999999999</v>
      </c>
      <c r="F62" s="1">
        <v>0</v>
      </c>
      <c r="G62" s="1">
        <v>0</v>
      </c>
      <c r="H62" s="1">
        <v>0</v>
      </c>
      <c r="I62" s="1">
        <v>-1296.4269999999999</v>
      </c>
    </row>
    <row r="63" spans="1:9" hidden="1" x14ac:dyDescent="0.25">
      <c r="A63" s="1" t="s">
        <v>140</v>
      </c>
      <c r="B63" s="1" t="s">
        <v>92</v>
      </c>
      <c r="C63" s="1" t="s">
        <v>10</v>
      </c>
      <c r="D63" s="1">
        <v>0</v>
      </c>
      <c r="E63" s="1">
        <v>-144.38999999999999</v>
      </c>
      <c r="F63" s="1">
        <v>0</v>
      </c>
      <c r="G63" s="1">
        <v>0</v>
      </c>
      <c r="H63" s="1">
        <v>0</v>
      </c>
      <c r="I63" s="1">
        <v>-1894.3820000000001</v>
      </c>
    </row>
    <row r="64" spans="1:9" hidden="1" x14ac:dyDescent="0.25">
      <c r="A64" s="1" t="s">
        <v>140</v>
      </c>
      <c r="B64" s="1" t="s">
        <v>11</v>
      </c>
      <c r="C64" s="1" t="s">
        <v>18</v>
      </c>
      <c r="D64" s="1">
        <v>0</v>
      </c>
      <c r="E64" s="1">
        <v>118.75</v>
      </c>
      <c r="F64" s="1">
        <v>0</v>
      </c>
      <c r="G64" s="1">
        <v>0</v>
      </c>
      <c r="H64" s="1">
        <v>0</v>
      </c>
      <c r="I64" s="1">
        <v>1161.509</v>
      </c>
    </row>
    <row r="65" spans="1:9" hidden="1" x14ac:dyDescent="0.25">
      <c r="A65" s="1" t="s">
        <v>140</v>
      </c>
      <c r="B65" s="1" t="s">
        <v>11</v>
      </c>
      <c r="C65" s="1" t="s">
        <v>10</v>
      </c>
      <c r="D65" s="1">
        <v>0</v>
      </c>
      <c r="E65" s="1">
        <v>118.75</v>
      </c>
      <c r="F65" s="1">
        <v>0</v>
      </c>
      <c r="G65" s="1">
        <v>0</v>
      </c>
      <c r="H65" s="1">
        <v>0</v>
      </c>
      <c r="I65" s="1">
        <v>1622.644</v>
      </c>
    </row>
    <row r="66" spans="1:9" hidden="1" x14ac:dyDescent="0.25">
      <c r="A66" s="1" t="s">
        <v>140</v>
      </c>
      <c r="B66" s="1" t="s">
        <v>12</v>
      </c>
      <c r="C66" s="1" t="s">
        <v>18</v>
      </c>
      <c r="D66" s="1">
        <v>171.9</v>
      </c>
      <c r="E66" s="1">
        <v>0</v>
      </c>
      <c r="F66" s="1">
        <v>0</v>
      </c>
      <c r="G66" s="1">
        <v>0</v>
      </c>
      <c r="H66" s="1">
        <v>0</v>
      </c>
      <c r="I66" s="1">
        <v>-2320.6260000000002</v>
      </c>
    </row>
    <row r="67" spans="1:9" hidden="1" x14ac:dyDescent="0.25">
      <c r="A67" s="1" t="s">
        <v>140</v>
      </c>
      <c r="B67" s="1" t="s">
        <v>12</v>
      </c>
      <c r="C67" s="1" t="s">
        <v>10</v>
      </c>
      <c r="D67" s="1">
        <v>171.9</v>
      </c>
      <c r="E67" s="1">
        <v>0</v>
      </c>
      <c r="F67" s="1">
        <v>0</v>
      </c>
      <c r="G67" s="1">
        <v>0</v>
      </c>
      <c r="H67" s="1">
        <v>0</v>
      </c>
      <c r="I67" s="1">
        <v>-2320.6260000000002</v>
      </c>
    </row>
    <row r="68" spans="1:9" hidden="1" x14ac:dyDescent="0.25">
      <c r="A68" s="1" t="s">
        <v>140</v>
      </c>
      <c r="B68" s="1" t="s">
        <v>13</v>
      </c>
      <c r="C68" s="1" t="s">
        <v>18</v>
      </c>
      <c r="D68" s="1">
        <v>0</v>
      </c>
      <c r="E68" s="1">
        <v>143.94999999999999</v>
      </c>
      <c r="F68" s="1">
        <v>0</v>
      </c>
      <c r="G68" s="1">
        <v>0</v>
      </c>
      <c r="H68" s="1">
        <v>0</v>
      </c>
      <c r="I68" s="1">
        <v>1407.981</v>
      </c>
    </row>
    <row r="69" spans="1:9" hidden="1" x14ac:dyDescent="0.25">
      <c r="A69" s="1" t="s">
        <v>140</v>
      </c>
      <c r="B69" s="1" t="s">
        <v>13</v>
      </c>
      <c r="C69" s="1" t="s">
        <v>10</v>
      </c>
      <c r="D69" s="1">
        <v>0</v>
      </c>
      <c r="E69" s="1">
        <v>143.94999999999999</v>
      </c>
      <c r="F69" s="1">
        <v>0</v>
      </c>
      <c r="G69" s="1">
        <v>0</v>
      </c>
      <c r="H69" s="1">
        <v>0</v>
      </c>
      <c r="I69" s="1">
        <v>1966.9690000000001</v>
      </c>
    </row>
    <row r="70" spans="1:9" hidden="1" x14ac:dyDescent="0.25">
      <c r="A70" s="1" t="s">
        <v>140</v>
      </c>
      <c r="B70" s="1" t="s">
        <v>21</v>
      </c>
      <c r="C70" s="1" t="s">
        <v>18</v>
      </c>
      <c r="D70" s="1">
        <v>0</v>
      </c>
      <c r="E70" s="1">
        <v>-143.94999999999999</v>
      </c>
      <c r="F70" s="1">
        <v>0</v>
      </c>
      <c r="G70" s="1">
        <v>0</v>
      </c>
      <c r="H70" s="1">
        <v>0</v>
      </c>
      <c r="I70" s="1">
        <v>-1407.981</v>
      </c>
    </row>
    <row r="71" spans="1:9" hidden="1" x14ac:dyDescent="0.25">
      <c r="A71" s="1" t="s">
        <v>140</v>
      </c>
      <c r="B71" s="1" t="s">
        <v>21</v>
      </c>
      <c r="C71" s="1" t="s">
        <v>10</v>
      </c>
      <c r="D71" s="1">
        <v>0</v>
      </c>
      <c r="E71" s="1">
        <v>-143.94999999999999</v>
      </c>
      <c r="F71" s="1">
        <v>0</v>
      </c>
      <c r="G71" s="1">
        <v>0</v>
      </c>
      <c r="H71" s="1">
        <v>0</v>
      </c>
      <c r="I71" s="1">
        <v>-1966.9690000000001</v>
      </c>
    </row>
    <row r="72" spans="1:9" hidden="1" x14ac:dyDescent="0.25">
      <c r="A72" s="1" t="s">
        <v>141</v>
      </c>
      <c r="B72" s="1" t="s">
        <v>9</v>
      </c>
      <c r="C72" s="1" t="s">
        <v>18</v>
      </c>
      <c r="D72" s="1">
        <v>1749.6</v>
      </c>
      <c r="E72" s="1">
        <v>0</v>
      </c>
      <c r="F72" s="1">
        <v>0</v>
      </c>
      <c r="G72" s="1">
        <v>0</v>
      </c>
      <c r="H72" s="1">
        <v>0</v>
      </c>
      <c r="I72" s="1">
        <v>-23619.599999999999</v>
      </c>
    </row>
    <row r="73" spans="1:9" hidden="1" x14ac:dyDescent="0.25">
      <c r="A73" s="1" t="s">
        <v>141</v>
      </c>
      <c r="B73" s="1" t="s">
        <v>9</v>
      </c>
      <c r="C73" s="1" t="s">
        <v>10</v>
      </c>
      <c r="D73" s="1">
        <v>1749.6</v>
      </c>
      <c r="E73" s="1">
        <v>0</v>
      </c>
      <c r="F73" s="1">
        <v>0</v>
      </c>
      <c r="G73" s="1">
        <v>0</v>
      </c>
      <c r="H73" s="1">
        <v>0</v>
      </c>
      <c r="I73" s="1">
        <v>-23619.599999999999</v>
      </c>
    </row>
    <row r="74" spans="1:9" hidden="1" x14ac:dyDescent="0.25">
      <c r="A74" s="1" t="s">
        <v>141</v>
      </c>
      <c r="B74" s="1" t="s">
        <v>19</v>
      </c>
      <c r="C74" s="1" t="s">
        <v>18</v>
      </c>
      <c r="D74" s="1">
        <v>437.4</v>
      </c>
      <c r="E74" s="1">
        <v>0</v>
      </c>
      <c r="F74" s="1">
        <v>0</v>
      </c>
      <c r="G74" s="1">
        <v>0</v>
      </c>
      <c r="H74" s="1">
        <v>0</v>
      </c>
      <c r="I74" s="1">
        <v>-5904.9</v>
      </c>
    </row>
    <row r="75" spans="1:9" hidden="1" x14ac:dyDescent="0.25">
      <c r="A75" s="1" t="s">
        <v>141</v>
      </c>
      <c r="B75" s="1" t="s">
        <v>19</v>
      </c>
      <c r="C75" s="1" t="s">
        <v>10</v>
      </c>
      <c r="D75" s="1">
        <v>437.4</v>
      </c>
      <c r="E75" s="1">
        <v>0</v>
      </c>
      <c r="F75" s="1">
        <v>0</v>
      </c>
      <c r="G75" s="1">
        <v>0</v>
      </c>
      <c r="H75" s="1">
        <v>0</v>
      </c>
      <c r="I75" s="1">
        <v>-5904.9</v>
      </c>
    </row>
    <row r="76" spans="1:9" hidden="1" x14ac:dyDescent="0.25">
      <c r="A76" s="1" t="s">
        <v>141</v>
      </c>
      <c r="B76" s="1" t="s">
        <v>92</v>
      </c>
      <c r="C76" s="1" t="s">
        <v>18</v>
      </c>
      <c r="D76" s="1">
        <v>0</v>
      </c>
      <c r="E76" s="1">
        <v>-164.71</v>
      </c>
      <c r="F76" s="1">
        <v>0</v>
      </c>
      <c r="G76" s="1">
        <v>0</v>
      </c>
      <c r="H76" s="1">
        <v>0</v>
      </c>
      <c r="I76" s="1">
        <v>-1894.3820000000001</v>
      </c>
    </row>
    <row r="77" spans="1:9" hidden="1" x14ac:dyDescent="0.25">
      <c r="A77" s="1" t="s">
        <v>141</v>
      </c>
      <c r="B77" s="1" t="s">
        <v>92</v>
      </c>
      <c r="C77" s="1" t="s">
        <v>10</v>
      </c>
      <c r="D77" s="1">
        <v>0</v>
      </c>
      <c r="E77" s="1">
        <v>-164.71</v>
      </c>
      <c r="F77" s="1">
        <v>0</v>
      </c>
      <c r="G77" s="1">
        <v>0</v>
      </c>
      <c r="H77" s="1">
        <v>0</v>
      </c>
      <c r="I77" s="1">
        <v>-2580.721</v>
      </c>
    </row>
    <row r="78" spans="1:9" hidden="1" x14ac:dyDescent="0.25">
      <c r="A78" s="1" t="s">
        <v>141</v>
      </c>
      <c r="B78" s="1" t="s">
        <v>11</v>
      </c>
      <c r="C78" s="1" t="s">
        <v>18</v>
      </c>
      <c r="D78" s="1">
        <v>0</v>
      </c>
      <c r="E78" s="1">
        <v>132.13</v>
      </c>
      <c r="F78" s="1">
        <v>0</v>
      </c>
      <c r="G78" s="1">
        <v>0</v>
      </c>
      <c r="H78" s="1">
        <v>0</v>
      </c>
      <c r="I78" s="1">
        <v>1622.644</v>
      </c>
    </row>
    <row r="79" spans="1:9" hidden="1" x14ac:dyDescent="0.25">
      <c r="A79" s="1" t="s">
        <v>141</v>
      </c>
      <c r="B79" s="1" t="s">
        <v>11</v>
      </c>
      <c r="C79" s="1" t="s">
        <v>10</v>
      </c>
      <c r="D79" s="1">
        <v>0</v>
      </c>
      <c r="E79" s="1">
        <v>132.13</v>
      </c>
      <c r="F79" s="1">
        <v>0</v>
      </c>
      <c r="G79" s="1">
        <v>0</v>
      </c>
      <c r="H79" s="1">
        <v>0</v>
      </c>
      <c r="I79" s="1">
        <v>2133.9290000000001</v>
      </c>
    </row>
    <row r="80" spans="1:9" hidden="1" x14ac:dyDescent="0.25">
      <c r="A80" s="1" t="s">
        <v>141</v>
      </c>
      <c r="B80" s="1" t="s">
        <v>12</v>
      </c>
      <c r="C80" s="1" t="s">
        <v>18</v>
      </c>
      <c r="D80" s="1">
        <v>206.28</v>
      </c>
      <c r="E80" s="1">
        <v>0</v>
      </c>
      <c r="F80" s="1">
        <v>0</v>
      </c>
      <c r="G80" s="1">
        <v>0</v>
      </c>
      <c r="H80" s="1">
        <v>0</v>
      </c>
      <c r="I80" s="1">
        <v>-2784.7510000000002</v>
      </c>
    </row>
    <row r="81" spans="1:9" hidden="1" x14ac:dyDescent="0.25">
      <c r="A81" s="1" t="s">
        <v>141</v>
      </c>
      <c r="B81" s="1" t="s">
        <v>12</v>
      </c>
      <c r="C81" s="1" t="s">
        <v>10</v>
      </c>
      <c r="D81" s="1">
        <v>206.28</v>
      </c>
      <c r="E81" s="1">
        <v>0</v>
      </c>
      <c r="F81" s="1">
        <v>0</v>
      </c>
      <c r="G81" s="1">
        <v>0</v>
      </c>
      <c r="H81" s="1">
        <v>0</v>
      </c>
      <c r="I81" s="1">
        <v>-2784.7510000000002</v>
      </c>
    </row>
    <row r="82" spans="1:9" hidden="1" x14ac:dyDescent="0.25">
      <c r="A82" s="1" t="s">
        <v>141</v>
      </c>
      <c r="B82" s="1" t="s">
        <v>13</v>
      </c>
      <c r="C82" s="1" t="s">
        <v>18</v>
      </c>
      <c r="D82" s="1">
        <v>0</v>
      </c>
      <c r="E82" s="1">
        <v>160.16999999999999</v>
      </c>
      <c r="F82" s="1">
        <v>0</v>
      </c>
      <c r="G82" s="1">
        <v>0</v>
      </c>
      <c r="H82" s="1">
        <v>0</v>
      </c>
      <c r="I82" s="1">
        <v>1966.9690000000001</v>
      </c>
    </row>
    <row r="83" spans="1:9" hidden="1" x14ac:dyDescent="0.25">
      <c r="A83" s="1" t="s">
        <v>141</v>
      </c>
      <c r="B83" s="1" t="s">
        <v>13</v>
      </c>
      <c r="C83" s="1" t="s">
        <v>10</v>
      </c>
      <c r="D83" s="1">
        <v>0</v>
      </c>
      <c r="E83" s="1">
        <v>160.16999999999999</v>
      </c>
      <c r="F83" s="1">
        <v>0</v>
      </c>
      <c r="G83" s="1">
        <v>0</v>
      </c>
      <c r="H83" s="1">
        <v>0</v>
      </c>
      <c r="I83" s="1">
        <v>2586.7489999999998</v>
      </c>
    </row>
    <row r="84" spans="1:9" hidden="1" x14ac:dyDescent="0.25">
      <c r="A84" s="1" t="s">
        <v>141</v>
      </c>
      <c r="B84" s="1" t="s">
        <v>21</v>
      </c>
      <c r="C84" s="1" t="s">
        <v>18</v>
      </c>
      <c r="D84" s="1">
        <v>0</v>
      </c>
      <c r="E84" s="1">
        <v>-160.16999999999999</v>
      </c>
      <c r="F84" s="1">
        <v>0</v>
      </c>
      <c r="G84" s="1">
        <v>0</v>
      </c>
      <c r="H84" s="1">
        <v>0</v>
      </c>
      <c r="I84" s="1">
        <v>-1966.9690000000001</v>
      </c>
    </row>
    <row r="85" spans="1:9" hidden="1" x14ac:dyDescent="0.25">
      <c r="A85" s="1" t="s">
        <v>141</v>
      </c>
      <c r="B85" s="1" t="s">
        <v>21</v>
      </c>
      <c r="C85" s="1" t="s">
        <v>10</v>
      </c>
      <c r="D85" s="1">
        <v>0</v>
      </c>
      <c r="E85" s="1">
        <v>-160.16999999999999</v>
      </c>
      <c r="F85" s="1">
        <v>0</v>
      </c>
      <c r="G85" s="1">
        <v>0</v>
      </c>
      <c r="H85" s="1">
        <v>0</v>
      </c>
      <c r="I85" s="1">
        <v>-2586.7489999999998</v>
      </c>
    </row>
    <row r="86" spans="1:9" hidden="1" x14ac:dyDescent="0.25">
      <c r="A86" s="1" t="s">
        <v>142</v>
      </c>
      <c r="B86" s="1" t="s">
        <v>9</v>
      </c>
      <c r="C86" s="1" t="s">
        <v>18</v>
      </c>
      <c r="D86" s="1">
        <v>2041.2</v>
      </c>
      <c r="E86" s="1">
        <v>0</v>
      </c>
      <c r="F86" s="1">
        <v>0</v>
      </c>
      <c r="G86" s="1">
        <v>0</v>
      </c>
      <c r="H86" s="1">
        <v>0</v>
      </c>
      <c r="I86" s="1">
        <v>-27556.2</v>
      </c>
    </row>
    <row r="87" spans="1:9" hidden="1" x14ac:dyDescent="0.25">
      <c r="A87" s="1" t="s">
        <v>142</v>
      </c>
      <c r="B87" s="1" t="s">
        <v>9</v>
      </c>
      <c r="C87" s="1" t="s">
        <v>10</v>
      </c>
      <c r="D87" s="1">
        <v>2041.2</v>
      </c>
      <c r="E87" s="1">
        <v>0</v>
      </c>
      <c r="F87" s="1">
        <v>0</v>
      </c>
      <c r="G87" s="1">
        <v>0</v>
      </c>
      <c r="H87" s="1">
        <v>0</v>
      </c>
      <c r="I87" s="1">
        <v>-27556.2</v>
      </c>
    </row>
    <row r="88" spans="1:9" hidden="1" x14ac:dyDescent="0.25">
      <c r="A88" s="1" t="s">
        <v>142</v>
      </c>
      <c r="B88" s="1" t="s">
        <v>19</v>
      </c>
      <c r="C88" s="1" t="s">
        <v>18</v>
      </c>
      <c r="D88" s="1">
        <v>510.3</v>
      </c>
      <c r="E88" s="1">
        <v>0</v>
      </c>
      <c r="F88" s="1">
        <v>0</v>
      </c>
      <c r="G88" s="1">
        <v>0</v>
      </c>
      <c r="H88" s="1">
        <v>0</v>
      </c>
      <c r="I88" s="1">
        <v>-6889.05</v>
      </c>
    </row>
    <row r="89" spans="1:9" hidden="1" x14ac:dyDescent="0.25">
      <c r="A89" s="1" t="s">
        <v>142</v>
      </c>
      <c r="B89" s="1" t="s">
        <v>19</v>
      </c>
      <c r="C89" s="1" t="s">
        <v>10</v>
      </c>
      <c r="D89" s="1">
        <v>510.3</v>
      </c>
      <c r="E89" s="1">
        <v>0</v>
      </c>
      <c r="F89" s="1">
        <v>0</v>
      </c>
      <c r="G89" s="1">
        <v>0</v>
      </c>
      <c r="H89" s="1">
        <v>0</v>
      </c>
      <c r="I89" s="1">
        <v>-6889.05</v>
      </c>
    </row>
    <row r="90" spans="1:9" hidden="1" x14ac:dyDescent="0.25">
      <c r="A90" s="1" t="s">
        <v>142</v>
      </c>
      <c r="B90" s="1" t="s">
        <v>92</v>
      </c>
      <c r="C90" s="1" t="s">
        <v>18</v>
      </c>
      <c r="D90" s="1">
        <v>0</v>
      </c>
      <c r="E90" s="1">
        <v>-182.18</v>
      </c>
      <c r="F90" s="1">
        <v>0</v>
      </c>
      <c r="G90" s="1">
        <v>0</v>
      </c>
      <c r="H90" s="1">
        <v>0</v>
      </c>
      <c r="I90" s="1">
        <v>-2580.721</v>
      </c>
    </row>
    <row r="91" spans="1:9" hidden="1" x14ac:dyDescent="0.25">
      <c r="A91" s="1" t="s">
        <v>142</v>
      </c>
      <c r="B91" s="1" t="s">
        <v>92</v>
      </c>
      <c r="C91" s="1" t="s">
        <v>10</v>
      </c>
      <c r="D91" s="1">
        <v>0</v>
      </c>
      <c r="E91" s="1">
        <v>-182.18</v>
      </c>
      <c r="F91" s="1">
        <v>0</v>
      </c>
      <c r="G91" s="1">
        <v>0</v>
      </c>
      <c r="H91" s="1">
        <v>0</v>
      </c>
      <c r="I91" s="1">
        <v>-3340.6590000000001</v>
      </c>
    </row>
    <row r="92" spans="1:9" hidden="1" x14ac:dyDescent="0.25">
      <c r="A92" s="1" t="s">
        <v>142</v>
      </c>
      <c r="B92" s="1" t="s">
        <v>11</v>
      </c>
      <c r="C92" s="1" t="s">
        <v>18</v>
      </c>
      <c r="D92" s="1">
        <v>0</v>
      </c>
      <c r="E92" s="1">
        <v>144.04</v>
      </c>
      <c r="F92" s="1">
        <v>0</v>
      </c>
      <c r="G92" s="1">
        <v>0</v>
      </c>
      <c r="H92" s="1">
        <v>0</v>
      </c>
      <c r="I92" s="1">
        <v>2133.9290000000001</v>
      </c>
    </row>
    <row r="93" spans="1:9" hidden="1" x14ac:dyDescent="0.25">
      <c r="A93" s="1" t="s">
        <v>142</v>
      </c>
      <c r="B93" s="1" t="s">
        <v>11</v>
      </c>
      <c r="C93" s="1" t="s">
        <v>10</v>
      </c>
      <c r="D93" s="1">
        <v>0</v>
      </c>
      <c r="E93" s="1">
        <v>144.04</v>
      </c>
      <c r="F93" s="1">
        <v>0</v>
      </c>
      <c r="G93" s="1">
        <v>0</v>
      </c>
      <c r="H93" s="1">
        <v>0</v>
      </c>
      <c r="I93" s="1">
        <v>2688.4119999999998</v>
      </c>
    </row>
    <row r="94" spans="1:9" hidden="1" x14ac:dyDescent="0.25">
      <c r="A94" s="1" t="s">
        <v>142</v>
      </c>
      <c r="B94" s="1" t="s">
        <v>12</v>
      </c>
      <c r="C94" s="1" t="s">
        <v>18</v>
      </c>
      <c r="D94" s="1">
        <v>240.66</v>
      </c>
      <c r="E94" s="1">
        <v>0</v>
      </c>
      <c r="F94" s="1">
        <v>0</v>
      </c>
      <c r="G94" s="1">
        <v>0</v>
      </c>
      <c r="H94" s="1">
        <v>0</v>
      </c>
      <c r="I94" s="1">
        <v>-3248.8760000000002</v>
      </c>
    </row>
    <row r="95" spans="1:9" hidden="1" x14ac:dyDescent="0.25">
      <c r="A95" s="1" t="s">
        <v>142</v>
      </c>
      <c r="B95" s="1" t="s">
        <v>12</v>
      </c>
      <c r="C95" s="1" t="s">
        <v>10</v>
      </c>
      <c r="D95" s="1">
        <v>240.66</v>
      </c>
      <c r="E95" s="1">
        <v>0</v>
      </c>
      <c r="F95" s="1">
        <v>0</v>
      </c>
      <c r="G95" s="1">
        <v>0</v>
      </c>
      <c r="H95" s="1">
        <v>0</v>
      </c>
      <c r="I95" s="1">
        <v>-3248.8760000000002</v>
      </c>
    </row>
    <row r="96" spans="1:9" hidden="1" x14ac:dyDescent="0.25">
      <c r="A96" s="1" t="s">
        <v>142</v>
      </c>
      <c r="B96" s="1" t="s">
        <v>13</v>
      </c>
      <c r="C96" s="1" t="s">
        <v>18</v>
      </c>
      <c r="D96" s="1">
        <v>0</v>
      </c>
      <c r="E96" s="1">
        <v>174.61</v>
      </c>
      <c r="F96" s="1">
        <v>0</v>
      </c>
      <c r="G96" s="1">
        <v>0</v>
      </c>
      <c r="H96" s="1">
        <v>0</v>
      </c>
      <c r="I96" s="1">
        <v>2586.7489999999998</v>
      </c>
    </row>
    <row r="97" spans="1:9" hidden="1" x14ac:dyDescent="0.25">
      <c r="A97" s="1" t="s">
        <v>142</v>
      </c>
      <c r="B97" s="1" t="s">
        <v>13</v>
      </c>
      <c r="C97" s="1" t="s">
        <v>10</v>
      </c>
      <c r="D97" s="1">
        <v>0</v>
      </c>
      <c r="E97" s="1">
        <v>174.61</v>
      </c>
      <c r="F97" s="1">
        <v>0</v>
      </c>
      <c r="G97" s="1">
        <v>0</v>
      </c>
      <c r="H97" s="1">
        <v>0</v>
      </c>
      <c r="I97" s="1">
        <v>3258.893</v>
      </c>
    </row>
    <row r="98" spans="1:9" hidden="1" x14ac:dyDescent="0.25">
      <c r="A98" s="1" t="s">
        <v>142</v>
      </c>
      <c r="B98" s="1" t="s">
        <v>21</v>
      </c>
      <c r="C98" s="1" t="s">
        <v>18</v>
      </c>
      <c r="D98" s="1">
        <v>0</v>
      </c>
      <c r="E98" s="1">
        <v>-174.61</v>
      </c>
      <c r="F98" s="1">
        <v>0</v>
      </c>
      <c r="G98" s="1">
        <v>0</v>
      </c>
      <c r="H98" s="1">
        <v>0</v>
      </c>
      <c r="I98" s="1">
        <v>-2586.7489999999998</v>
      </c>
    </row>
    <row r="99" spans="1:9" hidden="1" x14ac:dyDescent="0.25">
      <c r="A99" s="1" t="s">
        <v>142</v>
      </c>
      <c r="B99" s="1" t="s">
        <v>21</v>
      </c>
      <c r="C99" s="1" t="s">
        <v>10</v>
      </c>
      <c r="D99" s="1">
        <v>0</v>
      </c>
      <c r="E99" s="1">
        <v>-174.61</v>
      </c>
      <c r="F99" s="1">
        <v>0</v>
      </c>
      <c r="G99" s="1">
        <v>0</v>
      </c>
      <c r="H99" s="1">
        <v>0</v>
      </c>
      <c r="I99" s="1">
        <v>-3258.893</v>
      </c>
    </row>
    <row r="100" spans="1:9" hidden="1" x14ac:dyDescent="0.25">
      <c r="A100" s="1" t="s">
        <v>143</v>
      </c>
      <c r="B100" s="1" t="s">
        <v>9</v>
      </c>
      <c r="C100" s="1" t="s">
        <v>18</v>
      </c>
      <c r="D100" s="1">
        <v>2332.8000000000002</v>
      </c>
      <c r="E100" s="1">
        <v>0</v>
      </c>
      <c r="F100" s="1">
        <v>0</v>
      </c>
      <c r="G100" s="1">
        <v>0</v>
      </c>
      <c r="H100" s="1">
        <v>0</v>
      </c>
      <c r="I100" s="1">
        <v>-31492.799999999999</v>
      </c>
    </row>
    <row r="101" spans="1:9" hidden="1" x14ac:dyDescent="0.25">
      <c r="A101" s="1" t="s">
        <v>143</v>
      </c>
      <c r="B101" s="1" t="s">
        <v>9</v>
      </c>
      <c r="C101" s="1" t="s">
        <v>10</v>
      </c>
      <c r="D101" s="1">
        <v>2332.8000000000002</v>
      </c>
      <c r="E101" s="1">
        <v>0</v>
      </c>
      <c r="F101" s="1">
        <v>0</v>
      </c>
      <c r="G101" s="1">
        <v>0</v>
      </c>
      <c r="H101" s="1">
        <v>0</v>
      </c>
      <c r="I101" s="1">
        <v>-31492.799999999999</v>
      </c>
    </row>
    <row r="102" spans="1:9" hidden="1" x14ac:dyDescent="0.25">
      <c r="A102" s="1" t="s">
        <v>143</v>
      </c>
      <c r="B102" s="1" t="s">
        <v>19</v>
      </c>
      <c r="C102" s="1" t="s">
        <v>18</v>
      </c>
      <c r="D102" s="1">
        <v>583.20000000000005</v>
      </c>
      <c r="E102" s="1">
        <v>0</v>
      </c>
      <c r="F102" s="1">
        <v>0</v>
      </c>
      <c r="G102" s="1">
        <v>0</v>
      </c>
      <c r="H102" s="1">
        <v>0</v>
      </c>
      <c r="I102" s="1">
        <v>-7873.2</v>
      </c>
    </row>
    <row r="103" spans="1:9" hidden="1" x14ac:dyDescent="0.25">
      <c r="A103" s="1" t="s">
        <v>143</v>
      </c>
      <c r="B103" s="1" t="s">
        <v>19</v>
      </c>
      <c r="C103" s="1" t="s">
        <v>10</v>
      </c>
      <c r="D103" s="1">
        <v>583.20000000000005</v>
      </c>
      <c r="E103" s="1">
        <v>0</v>
      </c>
      <c r="F103" s="1">
        <v>0</v>
      </c>
      <c r="G103" s="1">
        <v>0</v>
      </c>
      <c r="H103" s="1">
        <v>0</v>
      </c>
      <c r="I103" s="1">
        <v>-7873.2</v>
      </c>
    </row>
    <row r="104" spans="1:9" hidden="1" x14ac:dyDescent="0.25">
      <c r="A104" s="1" t="s">
        <v>143</v>
      </c>
      <c r="B104" s="1" t="s">
        <v>92</v>
      </c>
      <c r="C104" s="1" t="s">
        <v>18</v>
      </c>
      <c r="D104" s="1">
        <v>0</v>
      </c>
      <c r="E104" s="1">
        <v>-196.8</v>
      </c>
      <c r="F104" s="1">
        <v>0</v>
      </c>
      <c r="G104" s="1">
        <v>0</v>
      </c>
      <c r="H104" s="1">
        <v>0</v>
      </c>
      <c r="I104" s="1">
        <v>-3340.6590000000001</v>
      </c>
    </row>
    <row r="105" spans="1:9" hidden="1" x14ac:dyDescent="0.25">
      <c r="A105" s="1" t="s">
        <v>143</v>
      </c>
      <c r="B105" s="1" t="s">
        <v>92</v>
      </c>
      <c r="C105" s="1" t="s">
        <v>10</v>
      </c>
      <c r="D105" s="1">
        <v>0</v>
      </c>
      <c r="E105" s="1">
        <v>-196.8</v>
      </c>
      <c r="F105" s="1">
        <v>0</v>
      </c>
      <c r="G105" s="1">
        <v>0</v>
      </c>
      <c r="H105" s="1">
        <v>0</v>
      </c>
      <c r="I105" s="1">
        <v>-4165.5469999999996</v>
      </c>
    </row>
    <row r="106" spans="1:9" hidden="1" x14ac:dyDescent="0.25">
      <c r="A106" s="1" t="s">
        <v>143</v>
      </c>
      <c r="B106" s="1" t="s">
        <v>11</v>
      </c>
      <c r="C106" s="1" t="s">
        <v>18</v>
      </c>
      <c r="D106" s="1">
        <v>0</v>
      </c>
      <c r="E106" s="1">
        <v>155.02000000000001</v>
      </c>
      <c r="F106" s="1">
        <v>0</v>
      </c>
      <c r="G106" s="1">
        <v>0</v>
      </c>
      <c r="H106" s="1">
        <v>0</v>
      </c>
      <c r="I106" s="1">
        <v>2688.4119999999998</v>
      </c>
    </row>
    <row r="107" spans="1:9" hidden="1" x14ac:dyDescent="0.25">
      <c r="A107" s="1" t="s">
        <v>143</v>
      </c>
      <c r="B107" s="1" t="s">
        <v>11</v>
      </c>
      <c r="C107" s="1" t="s">
        <v>10</v>
      </c>
      <c r="D107" s="1">
        <v>0</v>
      </c>
      <c r="E107" s="1">
        <v>155.02000000000001</v>
      </c>
      <c r="F107" s="1">
        <v>0</v>
      </c>
      <c r="G107" s="1">
        <v>0</v>
      </c>
      <c r="H107" s="1">
        <v>0</v>
      </c>
      <c r="I107" s="1">
        <v>3285.4879999999998</v>
      </c>
    </row>
    <row r="108" spans="1:9" hidden="1" x14ac:dyDescent="0.25">
      <c r="A108" s="1" t="s">
        <v>143</v>
      </c>
      <c r="B108" s="1" t="s">
        <v>12</v>
      </c>
      <c r="C108" s="1" t="s">
        <v>18</v>
      </c>
      <c r="D108" s="1">
        <v>275.04000000000002</v>
      </c>
      <c r="E108" s="1">
        <v>0</v>
      </c>
      <c r="F108" s="1">
        <v>0</v>
      </c>
      <c r="G108" s="1">
        <v>0</v>
      </c>
      <c r="H108" s="1">
        <v>0</v>
      </c>
      <c r="I108" s="1">
        <v>-3713.0010000000002</v>
      </c>
    </row>
    <row r="109" spans="1:9" hidden="1" x14ac:dyDescent="0.25">
      <c r="A109" s="1" t="s">
        <v>143</v>
      </c>
      <c r="B109" s="1" t="s">
        <v>12</v>
      </c>
      <c r="C109" s="1" t="s">
        <v>10</v>
      </c>
      <c r="D109" s="1">
        <v>275.04000000000002</v>
      </c>
      <c r="E109" s="1">
        <v>0</v>
      </c>
      <c r="F109" s="1">
        <v>0</v>
      </c>
      <c r="G109" s="1">
        <v>0</v>
      </c>
      <c r="H109" s="1">
        <v>0</v>
      </c>
      <c r="I109" s="1">
        <v>-3713.0010000000002</v>
      </c>
    </row>
    <row r="110" spans="1:9" hidden="1" x14ac:dyDescent="0.25">
      <c r="A110" s="1" t="s">
        <v>143</v>
      </c>
      <c r="B110" s="1" t="s">
        <v>13</v>
      </c>
      <c r="C110" s="1" t="s">
        <v>18</v>
      </c>
      <c r="D110" s="1">
        <v>0</v>
      </c>
      <c r="E110" s="1">
        <v>187.91</v>
      </c>
      <c r="F110" s="1">
        <v>0</v>
      </c>
      <c r="G110" s="1">
        <v>0</v>
      </c>
      <c r="H110" s="1">
        <v>0</v>
      </c>
      <c r="I110" s="1">
        <v>3258.893</v>
      </c>
    </row>
    <row r="111" spans="1:9" hidden="1" x14ac:dyDescent="0.25">
      <c r="A111" s="1" t="s">
        <v>143</v>
      </c>
      <c r="B111" s="1" t="s">
        <v>13</v>
      </c>
      <c r="C111" s="1" t="s">
        <v>10</v>
      </c>
      <c r="D111" s="1">
        <v>0</v>
      </c>
      <c r="E111" s="1">
        <v>187.91</v>
      </c>
      <c r="F111" s="1">
        <v>0</v>
      </c>
      <c r="G111" s="1">
        <v>0</v>
      </c>
      <c r="H111" s="1">
        <v>0</v>
      </c>
      <c r="I111" s="1">
        <v>3982.6680000000001</v>
      </c>
    </row>
    <row r="112" spans="1:9" hidden="1" x14ac:dyDescent="0.25">
      <c r="A112" s="1" t="s">
        <v>143</v>
      </c>
      <c r="B112" s="1" t="s">
        <v>21</v>
      </c>
      <c r="C112" s="1" t="s">
        <v>18</v>
      </c>
      <c r="D112" s="1">
        <v>0</v>
      </c>
      <c r="E112" s="1">
        <v>-187.91</v>
      </c>
      <c r="F112" s="1">
        <v>0</v>
      </c>
      <c r="G112" s="1">
        <v>0</v>
      </c>
      <c r="H112" s="1">
        <v>0</v>
      </c>
      <c r="I112" s="1">
        <v>-3258.893</v>
      </c>
    </row>
    <row r="113" spans="1:9" hidden="1" x14ac:dyDescent="0.25">
      <c r="A113" s="1" t="s">
        <v>143</v>
      </c>
      <c r="B113" s="1" t="s">
        <v>21</v>
      </c>
      <c r="C113" s="1" t="s">
        <v>10</v>
      </c>
      <c r="D113" s="1">
        <v>0</v>
      </c>
      <c r="E113" s="1">
        <v>-187.91</v>
      </c>
      <c r="F113" s="1">
        <v>0</v>
      </c>
      <c r="G113" s="1">
        <v>0</v>
      </c>
      <c r="H113" s="1">
        <v>0</v>
      </c>
      <c r="I113" s="1">
        <v>-3982.6680000000001</v>
      </c>
    </row>
    <row r="114" spans="1:9" hidden="1" x14ac:dyDescent="0.25">
      <c r="A114" s="1" t="s">
        <v>144</v>
      </c>
      <c r="B114" s="1" t="s">
        <v>9</v>
      </c>
      <c r="C114" s="1" t="s">
        <v>18</v>
      </c>
      <c r="D114" s="1">
        <v>2624.4</v>
      </c>
      <c r="E114" s="1">
        <v>0</v>
      </c>
      <c r="F114" s="1">
        <v>0</v>
      </c>
      <c r="G114" s="1">
        <v>0</v>
      </c>
      <c r="H114" s="1">
        <v>0</v>
      </c>
      <c r="I114" s="1">
        <v>-35429.4</v>
      </c>
    </row>
    <row r="115" spans="1:9" hidden="1" x14ac:dyDescent="0.25">
      <c r="A115" s="1" t="s">
        <v>144</v>
      </c>
      <c r="B115" s="1" t="s">
        <v>9</v>
      </c>
      <c r="C115" s="1" t="s">
        <v>10</v>
      </c>
      <c r="D115" s="1">
        <v>2624.4</v>
      </c>
      <c r="E115" s="1">
        <v>0</v>
      </c>
      <c r="F115" s="1">
        <v>0</v>
      </c>
      <c r="G115" s="1">
        <v>0</v>
      </c>
      <c r="H115" s="1">
        <v>0</v>
      </c>
      <c r="I115" s="1">
        <v>-35429.4</v>
      </c>
    </row>
    <row r="116" spans="1:9" hidden="1" x14ac:dyDescent="0.25">
      <c r="A116" s="1" t="s">
        <v>144</v>
      </c>
      <c r="B116" s="1" t="s">
        <v>19</v>
      </c>
      <c r="C116" s="1" t="s">
        <v>18</v>
      </c>
      <c r="D116" s="1">
        <v>656.1</v>
      </c>
      <c r="E116" s="1">
        <v>0</v>
      </c>
      <c r="F116" s="1">
        <v>0</v>
      </c>
      <c r="G116" s="1">
        <v>0</v>
      </c>
      <c r="H116" s="1">
        <v>0</v>
      </c>
      <c r="I116" s="1">
        <v>-8857.35</v>
      </c>
    </row>
    <row r="117" spans="1:9" hidden="1" x14ac:dyDescent="0.25">
      <c r="A117" s="1" t="s">
        <v>144</v>
      </c>
      <c r="B117" s="1" t="s">
        <v>19</v>
      </c>
      <c r="C117" s="1" t="s">
        <v>10</v>
      </c>
      <c r="D117" s="1">
        <v>656.1</v>
      </c>
      <c r="E117" s="1">
        <v>0</v>
      </c>
      <c r="F117" s="1">
        <v>0</v>
      </c>
      <c r="G117" s="1">
        <v>0</v>
      </c>
      <c r="H117" s="1">
        <v>0</v>
      </c>
      <c r="I117" s="1">
        <v>-8857.35</v>
      </c>
    </row>
    <row r="118" spans="1:9" hidden="1" x14ac:dyDescent="0.25">
      <c r="A118" s="1" t="s">
        <v>144</v>
      </c>
      <c r="B118" s="1" t="s">
        <v>92</v>
      </c>
      <c r="C118" s="1" t="s">
        <v>18</v>
      </c>
      <c r="D118" s="1">
        <v>0</v>
      </c>
      <c r="E118" s="1">
        <v>-208.57</v>
      </c>
      <c r="F118" s="1">
        <v>0</v>
      </c>
      <c r="G118" s="1">
        <v>0</v>
      </c>
      <c r="H118" s="1">
        <v>0</v>
      </c>
      <c r="I118" s="1">
        <v>-4165.5469999999996</v>
      </c>
    </row>
    <row r="119" spans="1:9" hidden="1" x14ac:dyDescent="0.25">
      <c r="A119" s="1" t="s">
        <v>144</v>
      </c>
      <c r="B119" s="1" t="s">
        <v>92</v>
      </c>
      <c r="C119" s="1" t="s">
        <v>10</v>
      </c>
      <c r="D119" s="1">
        <v>0</v>
      </c>
      <c r="E119" s="1">
        <v>-208.57</v>
      </c>
      <c r="F119" s="1">
        <v>0</v>
      </c>
      <c r="G119" s="1">
        <v>0</v>
      </c>
      <c r="H119" s="1">
        <v>0</v>
      </c>
      <c r="I119" s="1">
        <v>-5043.9009999999998</v>
      </c>
    </row>
    <row r="120" spans="1:9" hidden="1" x14ac:dyDescent="0.25">
      <c r="A120" s="1" t="s">
        <v>144</v>
      </c>
      <c r="B120" s="1" t="s">
        <v>11</v>
      </c>
      <c r="C120" s="1" t="s">
        <v>18</v>
      </c>
      <c r="D120" s="1">
        <v>0</v>
      </c>
      <c r="E120" s="1">
        <v>165.17</v>
      </c>
      <c r="F120" s="1">
        <v>0</v>
      </c>
      <c r="G120" s="1">
        <v>0</v>
      </c>
      <c r="H120" s="1">
        <v>0</v>
      </c>
      <c r="I120" s="1">
        <v>3285.4879999999998</v>
      </c>
    </row>
    <row r="121" spans="1:9" hidden="1" x14ac:dyDescent="0.25">
      <c r="A121" s="1" t="s">
        <v>144</v>
      </c>
      <c r="B121" s="1" t="s">
        <v>11</v>
      </c>
      <c r="C121" s="1" t="s">
        <v>10</v>
      </c>
      <c r="D121" s="1">
        <v>0</v>
      </c>
      <c r="E121" s="1">
        <v>165.17</v>
      </c>
      <c r="F121" s="1">
        <v>0</v>
      </c>
      <c r="G121" s="1">
        <v>0</v>
      </c>
      <c r="H121" s="1">
        <v>0</v>
      </c>
      <c r="I121" s="1">
        <v>3921.9929999999999</v>
      </c>
    </row>
    <row r="122" spans="1:9" hidden="1" x14ac:dyDescent="0.25">
      <c r="A122" s="1" t="s">
        <v>144</v>
      </c>
      <c r="B122" s="1" t="s">
        <v>12</v>
      </c>
      <c r="C122" s="1" t="s">
        <v>18</v>
      </c>
      <c r="D122" s="1">
        <v>309.42</v>
      </c>
      <c r="E122" s="1">
        <v>0</v>
      </c>
      <c r="F122" s="1">
        <v>0</v>
      </c>
      <c r="G122" s="1">
        <v>0</v>
      </c>
      <c r="H122" s="1">
        <v>0</v>
      </c>
      <c r="I122" s="1">
        <v>-4177.1260000000002</v>
      </c>
    </row>
    <row r="123" spans="1:9" hidden="1" x14ac:dyDescent="0.25">
      <c r="A123" s="1" t="s">
        <v>144</v>
      </c>
      <c r="B123" s="1" t="s">
        <v>12</v>
      </c>
      <c r="C123" s="1" t="s">
        <v>10</v>
      </c>
      <c r="D123" s="1">
        <v>309.42</v>
      </c>
      <c r="E123" s="1">
        <v>0</v>
      </c>
      <c r="F123" s="1">
        <v>0</v>
      </c>
      <c r="G123" s="1">
        <v>0</v>
      </c>
      <c r="H123" s="1">
        <v>0</v>
      </c>
      <c r="I123" s="1">
        <v>-4177.1260000000002</v>
      </c>
    </row>
    <row r="124" spans="1:9" hidden="1" x14ac:dyDescent="0.25">
      <c r="A124" s="1" t="s">
        <v>144</v>
      </c>
      <c r="B124" s="1" t="s">
        <v>13</v>
      </c>
      <c r="C124" s="1" t="s">
        <v>18</v>
      </c>
      <c r="D124" s="1">
        <v>0</v>
      </c>
      <c r="E124" s="1">
        <v>200.21</v>
      </c>
      <c r="F124" s="1">
        <v>0</v>
      </c>
      <c r="G124" s="1">
        <v>0</v>
      </c>
      <c r="H124" s="1">
        <v>0</v>
      </c>
      <c r="I124" s="1">
        <v>3982.6680000000001</v>
      </c>
    </row>
    <row r="125" spans="1:9" hidden="1" x14ac:dyDescent="0.25">
      <c r="A125" s="1" t="s">
        <v>144</v>
      </c>
      <c r="B125" s="1" t="s">
        <v>13</v>
      </c>
      <c r="C125" s="1" t="s">
        <v>10</v>
      </c>
      <c r="D125" s="1">
        <v>0</v>
      </c>
      <c r="E125" s="1">
        <v>200.21</v>
      </c>
      <c r="F125" s="1">
        <v>0</v>
      </c>
      <c r="G125" s="1">
        <v>0</v>
      </c>
      <c r="H125" s="1">
        <v>0</v>
      </c>
      <c r="I125" s="1">
        <v>4754.24</v>
      </c>
    </row>
    <row r="126" spans="1:9" hidden="1" x14ac:dyDescent="0.25">
      <c r="A126" s="1" t="s">
        <v>144</v>
      </c>
      <c r="B126" s="1" t="s">
        <v>21</v>
      </c>
      <c r="C126" s="1" t="s">
        <v>18</v>
      </c>
      <c r="D126" s="1">
        <v>0</v>
      </c>
      <c r="E126" s="1">
        <v>-200.21</v>
      </c>
      <c r="F126" s="1">
        <v>0</v>
      </c>
      <c r="G126" s="1">
        <v>0</v>
      </c>
      <c r="H126" s="1">
        <v>0</v>
      </c>
      <c r="I126" s="1">
        <v>-3982.6680000000001</v>
      </c>
    </row>
    <row r="127" spans="1:9" hidden="1" x14ac:dyDescent="0.25">
      <c r="A127" s="1" t="s">
        <v>144</v>
      </c>
      <c r="B127" s="1" t="s">
        <v>21</v>
      </c>
      <c r="C127" s="1" t="s">
        <v>10</v>
      </c>
      <c r="D127" s="1">
        <v>0</v>
      </c>
      <c r="E127" s="1">
        <v>-200.21</v>
      </c>
      <c r="F127" s="1">
        <v>0</v>
      </c>
      <c r="G127" s="1">
        <v>0</v>
      </c>
      <c r="H127" s="1">
        <v>0</v>
      </c>
      <c r="I127" s="1">
        <v>-4754.24</v>
      </c>
    </row>
    <row r="128" spans="1:9" hidden="1" x14ac:dyDescent="0.25">
      <c r="A128" s="1" t="s">
        <v>91</v>
      </c>
      <c r="B128" s="1" t="s">
        <v>9</v>
      </c>
      <c r="C128" s="1" t="s">
        <v>18</v>
      </c>
      <c r="D128" s="1">
        <v>2916</v>
      </c>
      <c r="E128" s="1">
        <v>0</v>
      </c>
      <c r="F128" s="1">
        <v>0</v>
      </c>
      <c r="G128" s="1">
        <v>0</v>
      </c>
      <c r="H128" s="1">
        <v>0</v>
      </c>
      <c r="I128" s="1">
        <v>-39366</v>
      </c>
    </row>
    <row r="129" spans="1:9" hidden="1" x14ac:dyDescent="0.25">
      <c r="A129" s="1" t="s">
        <v>91</v>
      </c>
      <c r="B129" s="1" t="s">
        <v>9</v>
      </c>
      <c r="C129" s="1" t="s">
        <v>10</v>
      </c>
      <c r="D129" s="1">
        <v>2916</v>
      </c>
      <c r="E129" s="1">
        <v>0</v>
      </c>
      <c r="F129" s="1">
        <v>0</v>
      </c>
      <c r="G129" s="1">
        <v>0</v>
      </c>
      <c r="H129" s="1">
        <v>0</v>
      </c>
      <c r="I129" s="1">
        <v>-39366</v>
      </c>
    </row>
    <row r="130" spans="1:9" hidden="1" x14ac:dyDescent="0.25">
      <c r="A130" s="1" t="s">
        <v>91</v>
      </c>
      <c r="B130" s="1" t="s">
        <v>19</v>
      </c>
      <c r="C130" s="1" t="s">
        <v>18</v>
      </c>
      <c r="D130" s="1">
        <v>729</v>
      </c>
      <c r="E130" s="1">
        <v>0</v>
      </c>
      <c r="F130" s="1">
        <v>0</v>
      </c>
      <c r="G130" s="1">
        <v>0</v>
      </c>
      <c r="H130" s="1">
        <v>0</v>
      </c>
      <c r="I130" s="1">
        <v>-9841.5</v>
      </c>
    </row>
    <row r="131" spans="1:9" hidden="1" x14ac:dyDescent="0.25">
      <c r="A131" s="1" t="s">
        <v>91</v>
      </c>
      <c r="B131" s="1" t="s">
        <v>19</v>
      </c>
      <c r="C131" s="1" t="s">
        <v>10</v>
      </c>
      <c r="D131" s="1">
        <v>729</v>
      </c>
      <c r="E131" s="1">
        <v>0</v>
      </c>
      <c r="F131" s="1">
        <v>0</v>
      </c>
      <c r="G131" s="1">
        <v>0</v>
      </c>
      <c r="H131" s="1">
        <v>0</v>
      </c>
      <c r="I131" s="1">
        <v>-9841.5</v>
      </c>
    </row>
    <row r="132" spans="1:9" hidden="1" x14ac:dyDescent="0.25">
      <c r="A132" s="1" t="s">
        <v>91</v>
      </c>
      <c r="B132" s="1" t="s">
        <v>92</v>
      </c>
      <c r="C132" s="1" t="s">
        <v>18</v>
      </c>
      <c r="D132" s="1">
        <v>0</v>
      </c>
      <c r="E132" s="1">
        <v>-217.48</v>
      </c>
      <c r="F132" s="1">
        <v>0</v>
      </c>
      <c r="G132" s="1">
        <v>0</v>
      </c>
      <c r="H132" s="1">
        <v>0</v>
      </c>
      <c r="I132" s="1">
        <v>-5043.9009999999998</v>
      </c>
    </row>
    <row r="133" spans="1:9" hidden="1" x14ac:dyDescent="0.25">
      <c r="A133" s="1" t="s">
        <v>91</v>
      </c>
      <c r="B133" s="1" t="s">
        <v>92</v>
      </c>
      <c r="C133" s="1" t="s">
        <v>10</v>
      </c>
      <c r="D133" s="1">
        <v>0</v>
      </c>
      <c r="E133" s="1">
        <v>-217.48</v>
      </c>
      <c r="F133" s="1">
        <v>0</v>
      </c>
      <c r="G133" s="1">
        <v>0</v>
      </c>
      <c r="H133" s="1">
        <v>0</v>
      </c>
      <c r="I133" s="1">
        <v>-5962.8220000000001</v>
      </c>
    </row>
    <row r="134" spans="1:9" hidden="1" x14ac:dyDescent="0.25">
      <c r="A134" s="1" t="s">
        <v>91</v>
      </c>
      <c r="B134" s="1" t="s">
        <v>11</v>
      </c>
      <c r="C134" s="1" t="s">
        <v>18</v>
      </c>
      <c r="D134" s="1">
        <v>0</v>
      </c>
      <c r="E134" s="1">
        <v>174.46</v>
      </c>
      <c r="F134" s="1">
        <v>0</v>
      </c>
      <c r="G134" s="1">
        <v>0</v>
      </c>
      <c r="H134" s="1">
        <v>0</v>
      </c>
      <c r="I134" s="1">
        <v>3921.9929999999999</v>
      </c>
    </row>
    <row r="135" spans="1:9" hidden="1" x14ac:dyDescent="0.25">
      <c r="A135" s="1" t="s">
        <v>91</v>
      </c>
      <c r="B135" s="1" t="s">
        <v>11</v>
      </c>
      <c r="C135" s="1" t="s">
        <v>10</v>
      </c>
      <c r="D135" s="1">
        <v>0</v>
      </c>
      <c r="E135" s="1">
        <v>174.46</v>
      </c>
      <c r="F135" s="1">
        <v>0</v>
      </c>
      <c r="G135" s="1">
        <v>0</v>
      </c>
      <c r="H135" s="1">
        <v>0</v>
      </c>
      <c r="I135" s="1">
        <v>4594.0550000000003</v>
      </c>
    </row>
    <row r="136" spans="1:9" hidden="1" x14ac:dyDescent="0.25">
      <c r="A136" s="1" t="s">
        <v>91</v>
      </c>
      <c r="B136" s="1" t="s">
        <v>12</v>
      </c>
      <c r="C136" s="1" t="s">
        <v>18</v>
      </c>
      <c r="D136" s="1">
        <v>343.8</v>
      </c>
      <c r="E136" s="1">
        <v>0</v>
      </c>
      <c r="F136" s="1">
        <v>0</v>
      </c>
      <c r="G136" s="1">
        <v>0</v>
      </c>
      <c r="H136" s="1">
        <v>0</v>
      </c>
      <c r="I136" s="1">
        <v>-4641.2510000000002</v>
      </c>
    </row>
    <row r="137" spans="1:9" hidden="1" x14ac:dyDescent="0.25">
      <c r="A137" s="1" t="s">
        <v>91</v>
      </c>
      <c r="B137" s="1" t="s">
        <v>12</v>
      </c>
      <c r="C137" s="1" t="s">
        <v>10</v>
      </c>
      <c r="D137" s="1">
        <v>343.8</v>
      </c>
      <c r="E137" s="1">
        <v>0</v>
      </c>
      <c r="F137" s="1">
        <v>0</v>
      </c>
      <c r="G137" s="1">
        <v>0</v>
      </c>
      <c r="H137" s="1">
        <v>0</v>
      </c>
      <c r="I137" s="1">
        <v>-4641.2510000000002</v>
      </c>
    </row>
    <row r="138" spans="1:9" hidden="1" x14ac:dyDescent="0.25">
      <c r="A138" s="1" t="s">
        <v>91</v>
      </c>
      <c r="B138" s="1" t="s">
        <v>13</v>
      </c>
      <c r="C138" s="1" t="s">
        <v>18</v>
      </c>
      <c r="D138" s="1">
        <v>0</v>
      </c>
      <c r="E138" s="1">
        <v>211.48</v>
      </c>
      <c r="F138" s="1">
        <v>0</v>
      </c>
      <c r="G138" s="1">
        <v>0</v>
      </c>
      <c r="H138" s="1">
        <v>0</v>
      </c>
      <c r="I138" s="1">
        <v>4754.24</v>
      </c>
    </row>
    <row r="139" spans="1:9" hidden="1" x14ac:dyDescent="0.25">
      <c r="A139" s="1" t="s">
        <v>91</v>
      </c>
      <c r="B139" s="1" t="s">
        <v>13</v>
      </c>
      <c r="C139" s="1" t="s">
        <v>10</v>
      </c>
      <c r="D139" s="1">
        <v>0</v>
      </c>
      <c r="E139" s="1">
        <v>211.48</v>
      </c>
      <c r="F139" s="1">
        <v>0</v>
      </c>
      <c r="G139" s="1">
        <v>0</v>
      </c>
      <c r="H139" s="1">
        <v>0</v>
      </c>
      <c r="I139" s="1">
        <v>5568.9139999999998</v>
      </c>
    </row>
    <row r="140" spans="1:9" hidden="1" x14ac:dyDescent="0.25">
      <c r="A140" s="1" t="s">
        <v>91</v>
      </c>
      <c r="B140" s="1" t="s">
        <v>21</v>
      </c>
      <c r="C140" s="1" t="s">
        <v>18</v>
      </c>
      <c r="D140" s="1">
        <v>0</v>
      </c>
      <c r="E140" s="1">
        <v>-211.48</v>
      </c>
      <c r="F140" s="1">
        <v>0</v>
      </c>
      <c r="G140" s="1">
        <v>0</v>
      </c>
      <c r="H140" s="1">
        <v>0</v>
      </c>
      <c r="I140" s="1">
        <v>-4754.24</v>
      </c>
    </row>
    <row r="141" spans="1:9" hidden="1" x14ac:dyDescent="0.25">
      <c r="A141" s="1" t="s">
        <v>91</v>
      </c>
      <c r="B141" s="1" t="s">
        <v>21</v>
      </c>
      <c r="C141" s="1" t="s">
        <v>10</v>
      </c>
      <c r="D141" s="1">
        <v>0</v>
      </c>
      <c r="E141" s="1">
        <v>-211.48</v>
      </c>
      <c r="F141" s="1">
        <v>0</v>
      </c>
      <c r="G141" s="1">
        <v>0</v>
      </c>
      <c r="H141" s="1">
        <v>0</v>
      </c>
      <c r="I141" s="1">
        <v>-5568.9139999999998</v>
      </c>
    </row>
    <row r="142" spans="1:9" hidden="1" x14ac:dyDescent="0.25">
      <c r="A142" s="1" t="s">
        <v>17</v>
      </c>
      <c r="B142" s="1" t="s">
        <v>9</v>
      </c>
      <c r="C142" s="1" t="s">
        <v>18</v>
      </c>
      <c r="D142" s="1">
        <v>3207.6</v>
      </c>
      <c r="E142" s="1">
        <v>0</v>
      </c>
      <c r="F142" s="1">
        <v>0</v>
      </c>
      <c r="G142" s="1">
        <v>0</v>
      </c>
      <c r="H142" s="1">
        <v>0</v>
      </c>
      <c r="I142" s="1">
        <v>-43302.6</v>
      </c>
    </row>
    <row r="143" spans="1:9" hidden="1" x14ac:dyDescent="0.25">
      <c r="A143" s="1" t="s">
        <v>17</v>
      </c>
      <c r="B143" s="1" t="s">
        <v>9</v>
      </c>
      <c r="C143" s="1" t="s">
        <v>10</v>
      </c>
      <c r="D143" s="1">
        <v>3207.6</v>
      </c>
      <c r="E143" s="1">
        <v>0</v>
      </c>
      <c r="F143" s="1">
        <v>0</v>
      </c>
      <c r="G143" s="1">
        <v>0</v>
      </c>
      <c r="H143" s="1">
        <v>0</v>
      </c>
      <c r="I143" s="1">
        <v>-43302.6</v>
      </c>
    </row>
    <row r="144" spans="1:9" hidden="1" x14ac:dyDescent="0.25">
      <c r="A144" s="1" t="s">
        <v>17</v>
      </c>
      <c r="B144" s="1" t="s">
        <v>19</v>
      </c>
      <c r="C144" s="1" t="s">
        <v>18</v>
      </c>
      <c r="D144" s="1">
        <v>801.9</v>
      </c>
      <c r="E144" s="1">
        <v>0</v>
      </c>
      <c r="F144" s="1">
        <v>0</v>
      </c>
      <c r="G144" s="1">
        <v>0</v>
      </c>
      <c r="H144" s="1">
        <v>0</v>
      </c>
      <c r="I144" s="1">
        <v>-10825.65</v>
      </c>
    </row>
    <row r="145" spans="1:9" hidden="1" x14ac:dyDescent="0.25">
      <c r="A145" s="1" t="s">
        <v>17</v>
      </c>
      <c r="B145" s="1" t="s">
        <v>19</v>
      </c>
      <c r="C145" s="1" t="s">
        <v>10</v>
      </c>
      <c r="D145" s="1">
        <v>801.9</v>
      </c>
      <c r="E145" s="1">
        <v>0</v>
      </c>
      <c r="F145" s="1">
        <v>0</v>
      </c>
      <c r="G145" s="1">
        <v>0</v>
      </c>
      <c r="H145" s="1">
        <v>0</v>
      </c>
      <c r="I145" s="1">
        <v>-10825.65</v>
      </c>
    </row>
    <row r="146" spans="1:9" hidden="1" x14ac:dyDescent="0.25">
      <c r="A146" s="1" t="s">
        <v>17</v>
      </c>
      <c r="B146" s="1" t="s">
        <v>92</v>
      </c>
      <c r="C146" s="1" t="s">
        <v>18</v>
      </c>
      <c r="D146" s="1">
        <v>0</v>
      </c>
      <c r="E146" s="1">
        <v>-223.54</v>
      </c>
      <c r="F146" s="1">
        <v>0</v>
      </c>
      <c r="G146" s="1">
        <v>0</v>
      </c>
      <c r="H146" s="1">
        <v>0</v>
      </c>
      <c r="I146" s="1">
        <v>-5962.8220000000001</v>
      </c>
    </row>
    <row r="147" spans="1:9" hidden="1" x14ac:dyDescent="0.25">
      <c r="A147" s="1" t="s">
        <v>17</v>
      </c>
      <c r="B147" s="1" t="s">
        <v>92</v>
      </c>
      <c r="C147" s="1" t="s">
        <v>10</v>
      </c>
      <c r="D147" s="1">
        <v>0</v>
      </c>
      <c r="E147" s="1">
        <v>-223.54</v>
      </c>
      <c r="F147" s="1">
        <v>0</v>
      </c>
      <c r="G147" s="1">
        <v>0</v>
      </c>
      <c r="H147" s="1">
        <v>0</v>
      </c>
      <c r="I147" s="1">
        <v>-6905.9750000000004</v>
      </c>
    </row>
    <row r="148" spans="1:9" hidden="1" x14ac:dyDescent="0.25">
      <c r="A148" s="1" t="s">
        <v>17</v>
      </c>
      <c r="B148" s="1" t="s">
        <v>11</v>
      </c>
      <c r="C148" s="1" t="s">
        <v>18</v>
      </c>
      <c r="D148" s="1">
        <v>0</v>
      </c>
      <c r="E148" s="1">
        <v>182.29</v>
      </c>
      <c r="F148" s="1">
        <v>0</v>
      </c>
      <c r="G148" s="1">
        <v>0</v>
      </c>
      <c r="H148" s="1">
        <v>0</v>
      </c>
      <c r="I148" s="1">
        <v>4594.0550000000003</v>
      </c>
    </row>
    <row r="149" spans="1:9" hidden="1" x14ac:dyDescent="0.25">
      <c r="A149" s="1" t="s">
        <v>17</v>
      </c>
      <c r="B149" s="1" t="s">
        <v>11</v>
      </c>
      <c r="C149" s="1" t="s">
        <v>10</v>
      </c>
      <c r="D149" s="1">
        <v>0</v>
      </c>
      <c r="E149" s="1">
        <v>182.29</v>
      </c>
      <c r="F149" s="1">
        <v>0</v>
      </c>
      <c r="G149" s="1">
        <v>0</v>
      </c>
      <c r="H149" s="1">
        <v>0</v>
      </c>
      <c r="I149" s="1">
        <v>5294.6890000000003</v>
      </c>
    </row>
    <row r="150" spans="1:9" hidden="1" x14ac:dyDescent="0.25">
      <c r="A150" s="1" t="s">
        <v>17</v>
      </c>
      <c r="B150" s="1" t="s">
        <v>12</v>
      </c>
      <c r="C150" s="1" t="s">
        <v>18</v>
      </c>
      <c r="D150" s="1">
        <v>378.18</v>
      </c>
      <c r="E150" s="1">
        <v>0</v>
      </c>
      <c r="F150" s="1">
        <v>0</v>
      </c>
      <c r="G150" s="1">
        <v>0</v>
      </c>
      <c r="H150" s="1">
        <v>0</v>
      </c>
      <c r="I150" s="1">
        <v>-5105.3770000000004</v>
      </c>
    </row>
    <row r="151" spans="1:9" hidden="1" x14ac:dyDescent="0.25">
      <c r="A151" s="1" t="s">
        <v>17</v>
      </c>
      <c r="B151" s="1" t="s">
        <v>12</v>
      </c>
      <c r="C151" s="1" t="s">
        <v>10</v>
      </c>
      <c r="D151" s="1">
        <v>378.18</v>
      </c>
      <c r="E151" s="1">
        <v>0</v>
      </c>
      <c r="F151" s="1">
        <v>0</v>
      </c>
      <c r="G151" s="1">
        <v>0</v>
      </c>
      <c r="H151" s="1">
        <v>0</v>
      </c>
      <c r="I151" s="1">
        <v>-5105.3770000000004</v>
      </c>
    </row>
    <row r="152" spans="1:9" hidden="1" x14ac:dyDescent="0.25">
      <c r="A152" s="1" t="s">
        <v>17</v>
      </c>
      <c r="B152" s="1" t="s">
        <v>13</v>
      </c>
      <c r="C152" s="1" t="s">
        <v>18</v>
      </c>
      <c r="D152" s="1">
        <v>0</v>
      </c>
      <c r="E152" s="1">
        <v>220.97</v>
      </c>
      <c r="F152" s="1">
        <v>0</v>
      </c>
      <c r="G152" s="1">
        <v>0</v>
      </c>
      <c r="H152" s="1">
        <v>0</v>
      </c>
      <c r="I152" s="1">
        <v>5568.9139999999998</v>
      </c>
    </row>
    <row r="153" spans="1:9" hidden="1" x14ac:dyDescent="0.25">
      <c r="A153" s="1" t="s">
        <v>17</v>
      </c>
      <c r="B153" s="1" t="s">
        <v>13</v>
      </c>
      <c r="C153" s="1" t="s">
        <v>10</v>
      </c>
      <c r="D153" s="1">
        <v>0</v>
      </c>
      <c r="E153" s="1">
        <v>220.97</v>
      </c>
      <c r="F153" s="1">
        <v>0</v>
      </c>
      <c r="G153" s="1">
        <v>0</v>
      </c>
      <c r="H153" s="1">
        <v>0</v>
      </c>
      <c r="I153" s="1">
        <v>6418.2219999999998</v>
      </c>
    </row>
    <row r="154" spans="1:9" hidden="1" x14ac:dyDescent="0.25">
      <c r="A154" s="1" t="s">
        <v>17</v>
      </c>
      <c r="B154" s="1" t="s">
        <v>21</v>
      </c>
      <c r="C154" s="1" t="s">
        <v>18</v>
      </c>
      <c r="D154" s="1">
        <v>0</v>
      </c>
      <c r="E154" s="1">
        <v>-220.97</v>
      </c>
      <c r="F154" s="1">
        <v>0</v>
      </c>
      <c r="G154" s="1">
        <v>0</v>
      </c>
      <c r="H154" s="1">
        <v>0</v>
      </c>
      <c r="I154" s="1">
        <v>-5568.9139999999998</v>
      </c>
    </row>
    <row r="155" spans="1:9" hidden="1" x14ac:dyDescent="0.25">
      <c r="A155" s="1" t="s">
        <v>17</v>
      </c>
      <c r="B155" s="1" t="s">
        <v>21</v>
      </c>
      <c r="C155" s="1" t="s">
        <v>10</v>
      </c>
      <c r="D155" s="1">
        <v>0</v>
      </c>
      <c r="E155" s="1">
        <v>-220.97</v>
      </c>
      <c r="F155" s="1">
        <v>0</v>
      </c>
      <c r="G155" s="1">
        <v>0</v>
      </c>
      <c r="H155" s="1">
        <v>0</v>
      </c>
      <c r="I155" s="1">
        <v>-6418.2219999999998</v>
      </c>
    </row>
    <row r="156" spans="1:9" hidden="1" x14ac:dyDescent="0.25">
      <c r="A156" s="1" t="s">
        <v>14</v>
      </c>
      <c r="B156" s="1" t="s">
        <v>9</v>
      </c>
      <c r="C156" s="1" t="s">
        <v>18</v>
      </c>
      <c r="D156" s="1">
        <v>3499.2</v>
      </c>
      <c r="E156" s="1">
        <v>0</v>
      </c>
      <c r="F156" s="1">
        <v>0</v>
      </c>
      <c r="G156" s="1">
        <v>0</v>
      </c>
      <c r="H156" s="1">
        <v>0</v>
      </c>
      <c r="I156" s="1">
        <v>-47239.199999999997</v>
      </c>
    </row>
    <row r="157" spans="1:9" hidden="1" x14ac:dyDescent="0.25">
      <c r="A157" s="1" t="s">
        <v>14</v>
      </c>
      <c r="B157" s="1" t="s">
        <v>9</v>
      </c>
      <c r="C157" s="1" t="s">
        <v>10</v>
      </c>
      <c r="D157" s="1">
        <v>3499.2</v>
      </c>
      <c r="E157" s="1">
        <v>0</v>
      </c>
      <c r="F157" s="1">
        <v>0</v>
      </c>
      <c r="G157" s="1">
        <v>0</v>
      </c>
      <c r="H157" s="1">
        <v>0</v>
      </c>
      <c r="I157" s="1">
        <v>-47239.199999999997</v>
      </c>
    </row>
    <row r="158" spans="1:9" hidden="1" x14ac:dyDescent="0.25">
      <c r="A158" s="1" t="s">
        <v>14</v>
      </c>
      <c r="B158" s="1" t="s">
        <v>19</v>
      </c>
      <c r="C158" s="1" t="s">
        <v>18</v>
      </c>
      <c r="D158" s="1">
        <v>874.8</v>
      </c>
      <c r="E158" s="1">
        <v>0</v>
      </c>
      <c r="F158" s="1">
        <v>0</v>
      </c>
      <c r="G158" s="1">
        <v>0</v>
      </c>
      <c r="H158" s="1">
        <v>0</v>
      </c>
      <c r="I158" s="1">
        <v>-11809.8</v>
      </c>
    </row>
    <row r="159" spans="1:9" hidden="1" x14ac:dyDescent="0.25">
      <c r="A159" s="1" t="s">
        <v>14</v>
      </c>
      <c r="B159" s="1" t="s">
        <v>19</v>
      </c>
      <c r="C159" s="1" t="s">
        <v>10</v>
      </c>
      <c r="D159" s="1">
        <v>874.8</v>
      </c>
      <c r="E159" s="1">
        <v>0</v>
      </c>
      <c r="F159" s="1">
        <v>0</v>
      </c>
      <c r="G159" s="1">
        <v>0</v>
      </c>
      <c r="H159" s="1">
        <v>0</v>
      </c>
      <c r="I159" s="1">
        <v>-11809.8</v>
      </c>
    </row>
    <row r="160" spans="1:9" hidden="1" x14ac:dyDescent="0.25">
      <c r="A160" s="1" t="s">
        <v>14</v>
      </c>
      <c r="B160" s="1" t="s">
        <v>92</v>
      </c>
      <c r="C160" s="1" t="s">
        <v>18</v>
      </c>
      <c r="D160" s="1">
        <v>0</v>
      </c>
      <c r="E160" s="1">
        <v>-226.75</v>
      </c>
      <c r="F160" s="1">
        <v>0</v>
      </c>
      <c r="G160" s="1">
        <v>0</v>
      </c>
      <c r="H160" s="1">
        <v>0</v>
      </c>
      <c r="I160" s="1">
        <v>-6905.9750000000004</v>
      </c>
    </row>
    <row r="161" spans="1:9" x14ac:dyDescent="0.25">
      <c r="A161" s="1" t="s">
        <v>14</v>
      </c>
      <c r="B161" s="1" t="s">
        <v>92</v>
      </c>
      <c r="C161" s="1" t="s">
        <v>10</v>
      </c>
      <c r="D161" s="1">
        <v>0</v>
      </c>
      <c r="E161" s="1">
        <v>-226.75</v>
      </c>
      <c r="F161" s="1">
        <v>0</v>
      </c>
      <c r="G161" s="1">
        <v>0</v>
      </c>
      <c r="H161" s="1">
        <v>0</v>
      </c>
      <c r="I161" s="1">
        <v>-7961.085</v>
      </c>
    </row>
    <row r="162" spans="1:9" hidden="1" x14ac:dyDescent="0.25">
      <c r="A162" s="1" t="s">
        <v>14</v>
      </c>
      <c r="B162" s="1" t="s">
        <v>11</v>
      </c>
      <c r="C162" s="1" t="s">
        <v>18</v>
      </c>
      <c r="D162" s="1">
        <v>0</v>
      </c>
      <c r="E162" s="1">
        <v>187.06</v>
      </c>
      <c r="F162" s="1">
        <v>0</v>
      </c>
      <c r="G162" s="1">
        <v>0</v>
      </c>
      <c r="H162" s="1">
        <v>0</v>
      </c>
      <c r="I162" s="1">
        <v>5294.6890000000003</v>
      </c>
    </row>
    <row r="163" spans="1:9" x14ac:dyDescent="0.25">
      <c r="A163" s="1" t="s">
        <v>14</v>
      </c>
      <c r="B163" s="1" t="s">
        <v>11</v>
      </c>
      <c r="C163" s="1" t="s">
        <v>10</v>
      </c>
      <c r="D163" s="1">
        <v>0</v>
      </c>
      <c r="E163" s="1">
        <v>187.06</v>
      </c>
      <c r="F163" s="1">
        <v>0</v>
      </c>
      <c r="G163" s="1">
        <v>0</v>
      </c>
      <c r="H163" s="1">
        <v>0</v>
      </c>
      <c r="I163" s="1">
        <v>6094.1670000000004</v>
      </c>
    </row>
    <row r="164" spans="1:9" hidden="1" x14ac:dyDescent="0.25">
      <c r="A164" s="1" t="s">
        <v>14</v>
      </c>
      <c r="B164" s="1" t="s">
        <v>12</v>
      </c>
      <c r="C164" s="1" t="s">
        <v>18</v>
      </c>
      <c r="D164" s="1">
        <v>412.56</v>
      </c>
      <c r="E164" s="1">
        <v>0</v>
      </c>
      <c r="F164" s="1">
        <v>0</v>
      </c>
      <c r="G164" s="1">
        <v>0</v>
      </c>
      <c r="H164" s="1">
        <v>0</v>
      </c>
      <c r="I164" s="1">
        <v>-5569.5020000000004</v>
      </c>
    </row>
    <row r="165" spans="1:9" hidden="1" x14ac:dyDescent="0.25">
      <c r="A165" s="1" t="s">
        <v>14</v>
      </c>
      <c r="B165" s="1" t="s">
        <v>12</v>
      </c>
      <c r="C165" s="1" t="s">
        <v>10</v>
      </c>
      <c r="D165" s="1">
        <v>412.56</v>
      </c>
      <c r="E165" s="1">
        <v>0</v>
      </c>
      <c r="F165" s="1">
        <v>0</v>
      </c>
      <c r="G165" s="1">
        <v>0</v>
      </c>
      <c r="H165" s="1">
        <v>0</v>
      </c>
      <c r="I165" s="1">
        <v>-5569.5020000000004</v>
      </c>
    </row>
    <row r="166" spans="1:9" hidden="1" x14ac:dyDescent="0.25">
      <c r="A166" s="1" t="s">
        <v>14</v>
      </c>
      <c r="B166" s="1" t="s">
        <v>13</v>
      </c>
      <c r="C166" s="1" t="s">
        <v>18</v>
      </c>
      <c r="D166" s="1">
        <v>0</v>
      </c>
      <c r="E166" s="1">
        <v>226.76</v>
      </c>
      <c r="F166" s="1">
        <v>0</v>
      </c>
      <c r="G166" s="1">
        <v>0</v>
      </c>
      <c r="H166" s="1">
        <v>0</v>
      </c>
      <c r="I166" s="1">
        <v>6418.2219999999998</v>
      </c>
    </row>
    <row r="167" spans="1:9" x14ac:dyDescent="0.25">
      <c r="A167" s="1" t="s">
        <v>14</v>
      </c>
      <c r="B167" s="1" t="s">
        <v>13</v>
      </c>
      <c r="C167" s="1" t="s">
        <v>10</v>
      </c>
      <c r="D167" s="1">
        <v>0</v>
      </c>
      <c r="E167" s="1">
        <v>226.76</v>
      </c>
      <c r="F167" s="1">
        <v>0</v>
      </c>
      <c r="G167" s="1">
        <v>0</v>
      </c>
      <c r="H167" s="1">
        <v>0</v>
      </c>
      <c r="I167" s="1">
        <v>7387.3490000000002</v>
      </c>
    </row>
    <row r="168" spans="1:9" hidden="1" x14ac:dyDescent="0.25">
      <c r="A168" s="1" t="s">
        <v>14</v>
      </c>
      <c r="B168" s="1" t="s">
        <v>21</v>
      </c>
      <c r="C168" s="1" t="s">
        <v>18</v>
      </c>
      <c r="D168" s="1">
        <v>0</v>
      </c>
      <c r="E168" s="1">
        <v>-226.76</v>
      </c>
      <c r="F168" s="1">
        <v>0</v>
      </c>
      <c r="G168" s="1">
        <v>0</v>
      </c>
      <c r="H168" s="1">
        <v>0</v>
      </c>
      <c r="I168" s="1">
        <v>-6418.2219999999998</v>
      </c>
    </row>
    <row r="169" spans="1:9" hidden="1" x14ac:dyDescent="0.25">
      <c r="A169" s="1" t="s">
        <v>14</v>
      </c>
      <c r="B169" s="1" t="s">
        <v>21</v>
      </c>
      <c r="C169" s="1" t="s">
        <v>10</v>
      </c>
      <c r="D169" s="1">
        <v>0</v>
      </c>
      <c r="E169" s="1">
        <v>-226.76</v>
      </c>
      <c r="F169" s="1">
        <v>0</v>
      </c>
      <c r="G169" s="1">
        <v>0</v>
      </c>
      <c r="H169" s="1">
        <v>0</v>
      </c>
      <c r="I169" s="1">
        <v>-7387.3490000000002</v>
      </c>
    </row>
  </sheetData>
  <autoFilter ref="A1:I169">
    <filterColumn colId="0">
      <filters>
        <filter val="2F"/>
      </filters>
    </filterColumn>
    <filterColumn colId="1">
      <filters>
        <filter val="0SPECX"/>
        <filter val="EQX"/>
        <filter val="SPECXF MA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Assembled Point Masses</vt:lpstr>
      <vt:lpstr>Story Shears</vt:lpstr>
      <vt:lpstr>Scan</vt:lpstr>
      <vt:lpstr>Column</vt:lpstr>
      <vt:lpstr>SOP</vt:lpstr>
      <vt:lpstr>EQB</vt:lpstr>
      <vt:lpstr>Release Notes</vt:lpstr>
      <vt:lpstr>DL</vt:lpstr>
      <vt:lpstr>LL</vt:lpstr>
      <vt:lpstr>靜態地震力</vt:lpstr>
      <vt:lpstr>動態地震力修正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skyran</cp:lastModifiedBy>
  <dcterms:created xsi:type="dcterms:W3CDTF">2016-06-27T02:49:03Z</dcterms:created>
  <dcterms:modified xsi:type="dcterms:W3CDTF">2019-05-25T04:05:57Z</dcterms:modified>
</cp:coreProperties>
</file>