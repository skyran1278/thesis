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"/>
    </mc:Choice>
  </mc:AlternateContent>
  <xr:revisionPtr revIDLastSave="0" documentId="13_ncr:1_{AF737DBE-0193-48A9-AAD1-55B882968EB9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Masses'!$A$1:$K$12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15" l="1"/>
  <c r="E6" i="15"/>
  <c r="F6" i="15"/>
  <c r="G6" i="15"/>
  <c r="H6" i="15"/>
  <c r="I6" i="15"/>
  <c r="J6" i="15"/>
  <c r="D6" i="15"/>
  <c r="J10" i="15"/>
  <c r="J11" i="15" s="1"/>
  <c r="I10" i="15"/>
  <c r="I11" i="15" s="1"/>
  <c r="H10" i="15"/>
  <c r="H11" i="15" s="1"/>
  <c r="G10" i="15"/>
  <c r="G11" i="15" s="1"/>
  <c r="F10" i="15"/>
  <c r="F11" i="15" s="1"/>
  <c r="E10" i="15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E4" i="15"/>
  <c r="F4" i="15"/>
  <c r="G4" i="15"/>
  <c r="H4" i="15"/>
  <c r="I4" i="15"/>
  <c r="J4" i="15"/>
  <c r="D4" i="15"/>
  <c r="J5" i="15" l="1"/>
  <c r="I5" i="15"/>
  <c r="H5" i="15"/>
  <c r="G5" i="15"/>
  <c r="F5" i="15"/>
  <c r="E5" i="15"/>
  <c r="D5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<sst xmlns="http://schemas.openxmlformats.org/spreadsheetml/2006/main" count="4242" uniqueCount="163">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</sst>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0" fontId="8" fillId="0" borderId="0" xfId="8" applyNumberFormat="1" applyFont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opLeftCell="S1" workbookViewId="0">
      <selection activeCell="AE5" sqref="AE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129</v>
      </c>
      <c r="X11" s="16">
        <f>Z17/Z15</f>
        <v>0.10959370507679504</v>
      </c>
      <c r="AG11" s="39" t="s">
        <v>130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126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F15" sqref="F15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D4" s="41">
        <f>(((D3-2)*4+4)*$L$3)/($A3*$B3)</f>
        <v>1.1260000000000001E-2</v>
      </c>
      <c r="E4" s="41">
        <f t="shared" ref="E4:J4" si="1">(((E3-2)*4+4)*$L$3)/($A3*$B3)</f>
        <v>1.6890000000000002E-2</v>
      </c>
      <c r="F4" s="41">
        <f t="shared" si="1"/>
        <v>2.2520000000000002E-2</v>
      </c>
      <c r="G4" s="41">
        <f t="shared" si="1"/>
        <v>2.8150000000000001E-2</v>
      </c>
      <c r="H4" s="41">
        <f t="shared" si="1"/>
        <v>3.3780000000000004E-2</v>
      </c>
      <c r="I4" s="41">
        <f t="shared" si="1"/>
        <v>3.9410000000000001E-2</v>
      </c>
      <c r="J4" s="41">
        <f t="shared" si="1"/>
        <v>4.5040000000000004E-2</v>
      </c>
    </row>
    <row r="5" spans="1:13" x14ac:dyDescent="0.25">
      <c r="C5" s="36" t="s">
        <v>132</v>
      </c>
      <c r="D5" s="32">
        <f>ROUNDUP((ROUNDUP($A3*$B3*D$2/$M$3,0)-4)/4+2,0)</f>
        <v>3</v>
      </c>
      <c r="E5" s="32">
        <f>ROUNDUP((ROUNDUP($A3*$B3*E$2/$M$3,0)-4)/4+2,0)</f>
        <v>3</v>
      </c>
      <c r="F5" s="32">
        <f>ROUNDUP((ROUNDUP($A3*$B3*F$2/$M$3,0)-4)/4+2,0)</f>
        <v>4</v>
      </c>
      <c r="G5" s="32">
        <f>ROUNDUP((ROUNDUP($A3*$B3*G$2/$M$3,0)-4)/4+2,0)</f>
        <v>4</v>
      </c>
      <c r="H5" s="32">
        <f>ROUNDUP((ROUNDUP($A3*$B3*H$2/$M$3,0)-4)/4+2,0)</f>
        <v>5</v>
      </c>
      <c r="I5" s="32">
        <f>ROUNDUP((ROUNDUP($A3*$B3*I$2/$M$3,0)-4)/4+2,0)</f>
        <v>5</v>
      </c>
      <c r="J5" s="32">
        <f>ROUNDUP((ROUNDUP($A3*$B3*J$2/$M$3,0)-4)/4+2,0)</f>
        <v>6</v>
      </c>
    </row>
    <row r="6" spans="1:13" x14ac:dyDescent="0.25">
      <c r="C6" s="36"/>
      <c r="D6" s="41">
        <f>(((D5-2)*4+4)*$M$3)/($A3*$B3)</f>
        <v>1.8095555555555556E-2</v>
      </c>
      <c r="E6" s="41">
        <f t="shared" ref="E6:J6" si="2">(((E5-2)*4+4)*$M$3)/($A3*$B3)</f>
        <v>1.8095555555555556E-2</v>
      </c>
      <c r="F6" s="41">
        <f t="shared" si="2"/>
        <v>2.7143333333333335E-2</v>
      </c>
      <c r="G6" s="41">
        <f t="shared" si="2"/>
        <v>2.7143333333333335E-2</v>
      </c>
      <c r="H6" s="41">
        <f t="shared" si="2"/>
        <v>3.6191111111111111E-2</v>
      </c>
      <c r="I6" s="41">
        <f t="shared" si="2"/>
        <v>3.6191111111111111E-2</v>
      </c>
      <c r="J6" s="41">
        <f t="shared" si="2"/>
        <v>4.5238888888888891E-2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80</v>
      </c>
      <c r="B8" s="32">
        <v>80</v>
      </c>
      <c r="C8" s="36" t="s">
        <v>131</v>
      </c>
      <c r="D8" s="32">
        <f>ROUNDUP((ROUNDUP($A8*$B8*D$2/$L$3,0)-4)/4+2,0)</f>
        <v>5</v>
      </c>
      <c r="E8" s="32">
        <f>ROUNDUP((ROUNDUP($A8*$B8*E$2/$L$3,0)-4)/4+2,0)</f>
        <v>6</v>
      </c>
      <c r="F8" s="32">
        <f t="shared" ref="F8:J8" si="3">ROUNDUP((ROUNDUP($A8*$B8*F$2/$L$3,0)-4)/4+2,0)</f>
        <v>8</v>
      </c>
      <c r="G8" s="32">
        <f t="shared" si="3"/>
        <v>9</v>
      </c>
      <c r="H8" s="32">
        <f t="shared" si="3"/>
        <v>11</v>
      </c>
      <c r="I8" s="32">
        <f t="shared" si="3"/>
        <v>13</v>
      </c>
      <c r="J8" s="32">
        <f t="shared" si="3"/>
        <v>14</v>
      </c>
    </row>
    <row r="9" spans="1:13" x14ac:dyDescent="0.25">
      <c r="D9" s="41">
        <f>(((D8-2)*4+4)*$L$3)/($A8*$B8)</f>
        <v>1.26675E-2</v>
      </c>
      <c r="E9" s="41">
        <f t="shared" ref="E9" si="4">(((E8-2)*4+4)*$L$3)/($A8*$B8)</f>
        <v>1.5834375000000001E-2</v>
      </c>
      <c r="F9" s="41">
        <f t="shared" ref="F9" si="5">(((F8-2)*4+4)*$L$3)/($A8*$B8)</f>
        <v>2.2168125E-2</v>
      </c>
      <c r="G9" s="41">
        <f t="shared" ref="G9" si="6">(((G8-2)*4+4)*$L$3)/($A8*$B8)</f>
        <v>2.5335E-2</v>
      </c>
      <c r="H9" s="41">
        <f t="shared" ref="H9" si="7">(((H8-2)*4+4)*$L$3)/($A8*$B8)</f>
        <v>3.1668750000000002E-2</v>
      </c>
      <c r="I9" s="41">
        <f t="shared" ref="I9" si="8">(((I8-2)*4+4)*$L$3)/($A8*$B8)</f>
        <v>3.8002500000000002E-2</v>
      </c>
      <c r="J9" s="41">
        <f t="shared" ref="J9" si="9">(((J8-2)*4+4)*$L$3)/($A8*$B8)</f>
        <v>4.1169375000000008E-2</v>
      </c>
    </row>
    <row r="10" spans="1:13" x14ac:dyDescent="0.25">
      <c r="C10" s="36" t="s">
        <v>132</v>
      </c>
      <c r="D10" s="32">
        <f>ROUNDUP((ROUNDUP($A8*$B8*D$2/$M$3,0)-4)/4+2,0)</f>
        <v>3</v>
      </c>
      <c r="E10" s="32">
        <f>ROUNDUP((ROUNDUP($A8*$B8*E$2/$M$3,0)-4)/4+2,0)</f>
        <v>4</v>
      </c>
      <c r="F10" s="32">
        <f>ROUNDUP((ROUNDUP($A8*$B8*F$2/$M$3,0)-4)/4+2,0)</f>
        <v>5</v>
      </c>
      <c r="G10" s="32">
        <f>ROUNDUP((ROUNDUP($A8*$B8*G$2/$M$3,0)-4)/4+2,0)</f>
        <v>6</v>
      </c>
      <c r="H10" s="32">
        <f>ROUNDUP((ROUNDUP($A8*$B8*H$2/$M$3,0)-4)/4+2,0)</f>
        <v>7</v>
      </c>
      <c r="I10" s="32">
        <f>ROUNDUP((ROUNDUP($A8*$B8*I$2/$M$3,0)-4)/4+2,0)</f>
        <v>8</v>
      </c>
      <c r="J10" s="32">
        <f>ROUNDUP((ROUNDUP($A8*$B8*J$2/$M$3,0)-4)/4+2,0)</f>
        <v>9</v>
      </c>
    </row>
    <row r="11" spans="1:13" x14ac:dyDescent="0.25">
      <c r="C11" s="36"/>
      <c r="D11" s="41">
        <f>(((D10-2)*4+4)*$M$3)/($A8*$B8)</f>
        <v>1.017875E-2</v>
      </c>
      <c r="E11" s="41">
        <f t="shared" ref="E11:J11" si="10">(((E10-2)*4+4)*$M$3)/($A8*$B8)</f>
        <v>1.5268125E-2</v>
      </c>
      <c r="F11" s="41">
        <f t="shared" si="10"/>
        <v>2.0357500000000001E-2</v>
      </c>
      <c r="G11" s="41">
        <f t="shared" si="10"/>
        <v>2.5446875000000001E-2</v>
      </c>
      <c r="H11" s="41">
        <f t="shared" si="10"/>
        <v>3.0536250000000001E-2</v>
      </c>
      <c r="I11" s="41">
        <f t="shared" si="10"/>
        <v>3.5625625000000001E-2</v>
      </c>
      <c r="J11" s="41">
        <f t="shared" si="10"/>
        <v>4.0715000000000001E-2</v>
      </c>
    </row>
    <row r="12" spans="1:13" x14ac:dyDescent="0.25">
      <c r="C12" s="36"/>
    </row>
    <row r="13" spans="1:13" x14ac:dyDescent="0.25">
      <c r="C13" s="36"/>
    </row>
    <row r="15" spans="1:13" x14ac:dyDescent="0.25">
      <c r="C15" s="36"/>
    </row>
    <row r="16" spans="1:13" x14ac:dyDescent="0.25">
      <c r="C16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8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9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A000000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B00000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2019-05-20T09:30:14Z</dcterms:modified>
</cp:coreProperties>
</file>