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"/>
    </mc:Choice>
  </mc:AlternateContent>
  <xr:revisionPtr revIDLastSave="0" documentId="13_ncr:1_{40C5B010-B07A-44BF-81CD-2E0FA8444E0B}" xr6:coauthVersionLast="43" xr6:coauthVersionMax="43" xr10:uidLastSave="{00000000-0000-0000-0000-000000000000}"/>
  <bookViews>
    <workbookView xWindow="-120" yWindow="-120" windowWidth="29040" windowHeight="15840" activeTab="3" xr2:uid="{00000000-000D-0000-FFFF-FFFF00000000}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Masses'!$A$1:$K$12</definedName>
    <definedName name="_xlnm._FilterDatabase" localSheetId="7" hidden="1">DL!$A$1:$I$337</definedName>
    <definedName name="_xlnm._FilterDatabase" localSheetId="8" hidden="1">LL!$A$1:$I$337</definedName>
    <definedName name="_xlnm._FilterDatabase" localSheetId="1" hidden="1">'Story Shears'!#REF!</definedName>
    <definedName name="_xlnm._FilterDatabase" localSheetId="10" hidden="1">動態地震力修正!$A$1:$I$337</definedName>
    <definedName name="_xlnm._FilterDatabase" localSheetId="9" hidden="1">靜態地震力!$A$1:$I$337</definedName>
    <definedName name="SiteNow">[1]地震行政區資料!$A$4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6" i="15" l="1"/>
  <c r="I16" i="15"/>
  <c r="H16" i="15"/>
  <c r="G16" i="15"/>
  <c r="F16" i="15"/>
  <c r="E16" i="15"/>
  <c r="D16" i="15"/>
  <c r="J15" i="15"/>
  <c r="I15" i="15"/>
  <c r="H15" i="15"/>
  <c r="G15" i="15"/>
  <c r="F15" i="15"/>
  <c r="E15" i="15"/>
  <c r="D15" i="15"/>
  <c r="J13" i="15"/>
  <c r="I13" i="15"/>
  <c r="H13" i="15"/>
  <c r="G13" i="15"/>
  <c r="F13" i="15"/>
  <c r="E13" i="15"/>
  <c r="D13" i="15"/>
  <c r="J12" i="15"/>
  <c r="I12" i="15"/>
  <c r="H12" i="15"/>
  <c r="G12" i="15"/>
  <c r="F12" i="15"/>
  <c r="E12" i="15"/>
  <c r="D12" i="15"/>
  <c r="J10" i="15"/>
  <c r="I10" i="15"/>
  <c r="H10" i="15"/>
  <c r="G10" i="15"/>
  <c r="F10" i="15"/>
  <c r="E10" i="15"/>
  <c r="D10" i="15"/>
  <c r="J9" i="15"/>
  <c r="I9" i="15"/>
  <c r="H9" i="15"/>
  <c r="G9" i="15"/>
  <c r="F9" i="15"/>
  <c r="E9" i="15"/>
  <c r="D9" i="15"/>
  <c r="J7" i="15"/>
  <c r="I7" i="15"/>
  <c r="H7" i="15"/>
  <c r="G7" i="15"/>
  <c r="F7" i="15"/>
  <c r="E7" i="15"/>
  <c r="D7" i="15"/>
  <c r="J6" i="15"/>
  <c r="I6" i="15"/>
  <c r="H6" i="15"/>
  <c r="G6" i="15"/>
  <c r="F6" i="15"/>
  <c r="E6" i="15"/>
  <c r="D6" i="15"/>
  <c r="J4" i="15"/>
  <c r="I4" i="15"/>
  <c r="H4" i="15"/>
  <c r="G4" i="15"/>
  <c r="F4" i="15"/>
  <c r="E4" i="15"/>
  <c r="D4" i="15"/>
  <c r="J3" i="15"/>
  <c r="I3" i="15"/>
  <c r="H3" i="15"/>
  <c r="G3" i="15"/>
  <c r="F3" i="15"/>
  <c r="E3" i="15"/>
  <c r="D3" i="15"/>
  <c r="AI10" i="2" l="1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N23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<sst xmlns="http://schemas.openxmlformats.org/spreadsheetml/2006/main" count="4248" uniqueCount="163">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</sst>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>
    <tabColor theme="9" tint="0.39997558519241921"/>
  </sheetPr>
  <dimension ref="A1"/>
  <sheetViews>
    <sheetView workbookViewId="0">
      <selection sqref="A1:XFD1048576"/>
    </sheetView>
  </sheetViews>
  <sheetFormatPr defaultColWidth="9" defaultRowHeight="16.5" x14ac:dyDescent="0.25"/>
  <cols>
    <col min="1" max="16384" width="9" style="1"/>
  </cols>
  <sheetData/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9" tint="0.39997558519241921"/>
  </sheetPr>
  <dimension ref="A1"/>
  <sheetViews>
    <sheetView workbookViewId="0">
      <selection sqref="A1:XFD1048576"/>
    </sheetView>
  </sheetViews>
  <sheetFormatPr defaultColWidth="8.875" defaultRowHeight="16.5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7">
    <tabColor theme="4"/>
  </sheetPr>
  <dimension ref="A1:AO100"/>
  <sheetViews>
    <sheetView topLeftCell="S1" workbookViewId="0">
      <selection activeCell="AE5" sqref="AE5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12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8.6120148293863968E-2</v>
      </c>
      <c r="AG10" s="39" t="s">
        <v>70</v>
      </c>
      <c r="AH10" s="39"/>
      <c r="AI10" s="16">
        <f>-AK15/SQRT(AK16^2+AL16^2)</f>
        <v>1.3363663046668623</v>
      </c>
    </row>
    <row r="11" spans="1:41" ht="18" customHeight="1" x14ac:dyDescent="0.25">
      <c r="W11" s="33" t="s">
        <v>129</v>
      </c>
      <c r="X11" s="16">
        <f>Z17/Z15</f>
        <v>0.10959370507679504</v>
      </c>
      <c r="AG11" s="39" t="s">
        <v>130</v>
      </c>
      <c r="AH11" s="39"/>
      <c r="AI11" s="34">
        <f>-AK15/SQRT(AK17^2+AL17^2)</f>
        <v>0.90697211155378488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8" t="s">
        <v>88</v>
      </c>
      <c r="X13" s="38"/>
      <c r="AG13" s="38" t="s">
        <v>121</v>
      </c>
      <c r="AH13" s="38"/>
    </row>
    <row r="14" spans="1:41" ht="18" customHeight="1" x14ac:dyDescent="0.25">
      <c r="C14" s="32" t="s">
        <v>64</v>
      </c>
      <c r="D14" s="11">
        <v>131.57</v>
      </c>
      <c r="E14" s="11">
        <f>D14</f>
        <v>131.57</v>
      </c>
      <c r="F14" s="11">
        <f>IF(D14="","",($D$1*3)*$D$1)</f>
        <v>432</v>
      </c>
      <c r="G14" s="22">
        <f>IFERROR(E14/F14,"")</f>
        <v>0.30456018518518518</v>
      </c>
      <c r="J14" s="32" t="s">
        <v>64</v>
      </c>
      <c r="K14" s="11">
        <v>12.274606</v>
      </c>
      <c r="L14" s="11">
        <f>IF(K14&gt;0,K14*9.81,"")</f>
        <v>120.41388486000001</v>
      </c>
      <c r="M14" s="11">
        <f>IF(K14="","",($D$1*3)*$D$1)</f>
        <v>432</v>
      </c>
      <c r="N14" s="22">
        <f t="shared" ref="N14:N20" si="0">IF((L14= "")+(M14=""),"",L14/M14)</f>
        <v>0.27873584458333334</v>
      </c>
      <c r="Q14" s="32" t="s">
        <v>64</v>
      </c>
      <c r="R14" s="11">
        <v>129.6</v>
      </c>
      <c r="S14" s="11">
        <f>R14</f>
        <v>129.6</v>
      </c>
      <c r="T14" s="11">
        <f>IF(R14="","",($D$1*3)*$D$1)</f>
        <v>432</v>
      </c>
      <c r="U14" s="22">
        <f>IF((S14= "")+(T14=""),"",S14/T14)</f>
        <v>0.3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126</v>
      </c>
      <c r="D15" s="11">
        <v>263.14</v>
      </c>
      <c r="E15" s="11">
        <f>IF(D15-D14&gt;0,D15-D14,"")</f>
        <v>131.57</v>
      </c>
      <c r="F15" s="11">
        <f t="shared" ref="F15:F78" si="1">IF(D15="","",($D$1*3)*$D$1)</f>
        <v>432</v>
      </c>
      <c r="G15" s="22">
        <f t="shared" ref="G15:G78" si="2">IFERROR(E15/F15,"")</f>
        <v>0.30456018518518518</v>
      </c>
      <c r="J15" s="32" t="s">
        <v>126</v>
      </c>
      <c r="K15" s="11">
        <v>13.254594000000001</v>
      </c>
      <c r="L15" s="11">
        <f t="shared" ref="L15:L28" si="3">IF(K15&gt;0,K15*9.81,"")</f>
        <v>130.02756714</v>
      </c>
      <c r="M15" s="11">
        <f t="shared" ref="M15:M78" si="4">IF(K15="","",($D$1*3)*$D$1)</f>
        <v>432</v>
      </c>
      <c r="N15" s="22">
        <f t="shared" si="0"/>
        <v>0.30098973875000001</v>
      </c>
      <c r="Q15" s="32" t="s">
        <v>126</v>
      </c>
      <c r="R15" s="11">
        <v>259.2</v>
      </c>
      <c r="S15" s="11">
        <f>IF(R15-R14&gt;0,R15-R14,"")</f>
        <v>129.6</v>
      </c>
      <c r="T15" s="11">
        <f t="shared" ref="T15:T78" si="5">IF(R15="","",($D$1*3)*$D$1)</f>
        <v>432</v>
      </c>
      <c r="U15" s="22">
        <f t="shared" ref="U15:U78" si="6">IF((S15= "")+(T15=""),"",S15/T15)</f>
        <v>0.3</v>
      </c>
      <c r="W15" s="32" t="s">
        <v>14</v>
      </c>
      <c r="X15" s="11" t="s">
        <v>9</v>
      </c>
      <c r="Y15" s="32" t="s">
        <v>10</v>
      </c>
      <c r="Z15" s="14">
        <v>528.67999999999995</v>
      </c>
      <c r="AA15" s="11">
        <v>0</v>
      </c>
      <c r="AB15" s="11">
        <v>0</v>
      </c>
      <c r="AC15" s="11">
        <v>0</v>
      </c>
      <c r="AD15" s="11">
        <v>0</v>
      </c>
      <c r="AE15" s="11">
        <v>-9516.2060000000001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-45.53</v>
      </c>
      <c r="AL15" s="11">
        <v>0</v>
      </c>
      <c r="AM15" s="11">
        <v>0</v>
      </c>
      <c r="AN15" s="11">
        <v>0</v>
      </c>
      <c r="AO15" s="11">
        <v>-569.12</v>
      </c>
    </row>
    <row r="16" spans="1:41" ht="18" customHeight="1" x14ac:dyDescent="0.25">
      <c r="C16" s="32" t="s">
        <v>17</v>
      </c>
      <c r="D16" s="11">
        <v>394.71</v>
      </c>
      <c r="E16" s="11">
        <f t="shared" ref="E16:E24" si="7">IF(D16-D15&gt;0,D16-D15,"")</f>
        <v>131.57</v>
      </c>
      <c r="F16" s="11">
        <f t="shared" si="1"/>
        <v>432</v>
      </c>
      <c r="G16" s="22">
        <f t="shared" si="2"/>
        <v>0.30456018518518518</v>
      </c>
      <c r="J16" s="32" t="s">
        <v>17</v>
      </c>
      <c r="K16" s="11">
        <v>13.254594000000001</v>
      </c>
      <c r="L16" s="11">
        <f t="shared" si="3"/>
        <v>130.02756714</v>
      </c>
      <c r="M16" s="11">
        <f t="shared" si="4"/>
        <v>432</v>
      </c>
      <c r="N16" s="22">
        <f t="shared" si="0"/>
        <v>0.30098973875000001</v>
      </c>
      <c r="Q16" s="32" t="s">
        <v>17</v>
      </c>
      <c r="R16" s="11">
        <v>388.8</v>
      </c>
      <c r="S16" s="11">
        <f t="shared" ref="S16:S27" si="8">IF(R16-R15&gt;0,R16-R15,"")</f>
        <v>129.60000000000002</v>
      </c>
      <c r="T16" s="11">
        <f t="shared" si="5"/>
        <v>432</v>
      </c>
      <c r="U16" s="22">
        <f t="shared" si="6"/>
        <v>0.30000000000000004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-45.53</v>
      </c>
      <c r="AB16" s="11">
        <v>0</v>
      </c>
      <c r="AC16" s="11">
        <v>0</v>
      </c>
      <c r="AD16" s="11">
        <v>0</v>
      </c>
      <c r="AE16" s="11">
        <v>-569.12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34.07</v>
      </c>
      <c r="AL16" s="14">
        <v>0</v>
      </c>
      <c r="AM16" s="11">
        <v>0</v>
      </c>
      <c r="AN16" s="11">
        <v>0</v>
      </c>
      <c r="AO16" s="11">
        <v>398.75799999999998</v>
      </c>
    </row>
    <row r="17" spans="3:41" ht="18" customHeight="1" x14ac:dyDescent="0.25">
      <c r="C17" s="32" t="s">
        <v>14</v>
      </c>
      <c r="D17" s="11">
        <v>528.67999999999995</v>
      </c>
      <c r="E17" s="11">
        <f t="shared" si="7"/>
        <v>133.96999999999997</v>
      </c>
      <c r="F17" s="11">
        <f t="shared" si="1"/>
        <v>432</v>
      </c>
      <c r="G17" s="22">
        <f t="shared" si="2"/>
        <v>0.31011574074074066</v>
      </c>
      <c r="J17" s="32" t="s">
        <v>14</v>
      </c>
      <c r="K17" s="11">
        <v>13.377091999999999</v>
      </c>
      <c r="L17" s="11">
        <f t="shared" si="3"/>
        <v>131.22927251999999</v>
      </c>
      <c r="M17" s="11">
        <f t="shared" si="4"/>
        <v>432</v>
      </c>
      <c r="N17" s="22">
        <f t="shared" si="0"/>
        <v>0.30377146416666667</v>
      </c>
      <c r="Q17" s="32" t="s">
        <v>14</v>
      </c>
      <c r="R17" s="11">
        <v>518.4</v>
      </c>
      <c r="S17" s="11">
        <f t="shared" si="8"/>
        <v>129.59999999999997</v>
      </c>
      <c r="T17" s="11">
        <f t="shared" si="5"/>
        <v>432</v>
      </c>
      <c r="U17" s="22">
        <f t="shared" si="6"/>
        <v>0.29999999999999993</v>
      </c>
      <c r="W17" s="32" t="s">
        <v>14</v>
      </c>
      <c r="X17" s="11" t="s">
        <v>12</v>
      </c>
      <c r="Y17" s="32" t="s">
        <v>10</v>
      </c>
      <c r="Z17" s="14">
        <v>57.94</v>
      </c>
      <c r="AA17" s="11">
        <v>0</v>
      </c>
      <c r="AB17" s="11">
        <v>0</v>
      </c>
      <c r="AC17" s="11">
        <v>0</v>
      </c>
      <c r="AD17" s="11">
        <v>0</v>
      </c>
      <c r="AE17" s="11">
        <v>-1042.9760000000001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50.2</v>
      </c>
      <c r="AL17" s="14">
        <v>0</v>
      </c>
      <c r="AM17" s="11">
        <v>0</v>
      </c>
      <c r="AN17" s="11">
        <v>0</v>
      </c>
      <c r="AO17" s="11">
        <v>587.49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1.102487</v>
      </c>
      <c r="L18" s="11">
        <f t="shared" si="3"/>
        <v>10.815397470000001</v>
      </c>
      <c r="M18" s="11">
        <f t="shared" si="4"/>
        <v>432</v>
      </c>
      <c r="N18" s="22">
        <f t="shared" si="0"/>
        <v>2.5035642291666667E-2</v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53.263371999999997</v>
      </c>
      <c r="L19" s="11">
        <f t="shared" si="3"/>
        <v>522.51367932000005</v>
      </c>
      <c r="M19" s="11">
        <f t="shared" si="4"/>
        <v>432</v>
      </c>
      <c r="N19" s="22">
        <f t="shared" si="0"/>
        <v>1.2095224058333334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1">
    <tabColor theme="4"/>
  </sheetPr>
  <dimension ref="A1:M16"/>
  <sheetViews>
    <sheetView tabSelected="1" workbookViewId="0">
      <selection activeCell="K21" sqref="K21"/>
    </sheetView>
  </sheetViews>
  <sheetFormatPr defaultRowHeight="15.75" x14ac:dyDescent="0.25"/>
  <cols>
    <col min="1" max="16384" width="9" style="32"/>
  </cols>
  <sheetData>
    <row r="1" spans="1:13" ht="17.25" customHeight="1" thickBot="1" x14ac:dyDescent="0.3">
      <c r="A1" s="40" t="s">
        <v>133</v>
      </c>
      <c r="B1" s="40"/>
      <c r="C1" s="40"/>
      <c r="D1" s="40"/>
      <c r="E1" s="40"/>
      <c r="F1" s="40"/>
      <c r="G1" s="40"/>
      <c r="H1" s="40"/>
      <c r="I1" s="40"/>
      <c r="J1" s="40"/>
      <c r="L1" s="40" t="s">
        <v>134</v>
      </c>
      <c r="M1" s="40"/>
    </row>
    <row r="2" spans="1:13" ht="16.5" thickTop="1" x14ac:dyDescent="0.25">
      <c r="D2" s="36">
        <v>0.01</v>
      </c>
      <c r="E2" s="36">
        <v>1.4999999999999999E-2</v>
      </c>
      <c r="F2" s="36">
        <v>0.02</v>
      </c>
      <c r="G2" s="36">
        <v>2.5000000000000001E-2</v>
      </c>
      <c r="H2" s="36">
        <v>0.03</v>
      </c>
      <c r="I2" s="36">
        <v>3.5000000000000003E-2</v>
      </c>
      <c r="J2" s="36">
        <v>0.04</v>
      </c>
      <c r="L2" s="32" t="s">
        <v>131</v>
      </c>
      <c r="M2" s="32" t="s">
        <v>132</v>
      </c>
    </row>
    <row r="3" spans="1:13" x14ac:dyDescent="0.25">
      <c r="A3" s="32">
        <v>60</v>
      </c>
      <c r="B3" s="32">
        <v>60</v>
      </c>
      <c r="C3" s="36" t="s">
        <v>131</v>
      </c>
      <c r="D3" s="32">
        <f>ROUNDUP((ROUNDUP($A3*$B3*D$2/$L$3,0)-4)/4+2,0)</f>
        <v>3</v>
      </c>
      <c r="E3" s="32">
        <f>ROUNDUP((ROUNDUP($A3*$B3*E$2/$L$3,0)-4)/4+2,0)</f>
        <v>4</v>
      </c>
      <c r="F3" s="32">
        <f t="shared" ref="F3:J3" si="0">ROUNDUP((ROUNDUP($A3*$B3*F$2/$L$3,0)-4)/4+2,0)</f>
        <v>5</v>
      </c>
      <c r="G3" s="32">
        <f t="shared" si="0"/>
        <v>6</v>
      </c>
      <c r="H3" s="32">
        <f t="shared" si="0"/>
        <v>7</v>
      </c>
      <c r="I3" s="32">
        <f t="shared" si="0"/>
        <v>8</v>
      </c>
      <c r="J3" s="32">
        <f t="shared" si="0"/>
        <v>9</v>
      </c>
      <c r="L3" s="32">
        <v>5.0670000000000002</v>
      </c>
      <c r="M3" s="32">
        <v>8.1430000000000007</v>
      </c>
    </row>
    <row r="4" spans="1:13" x14ac:dyDescent="0.25">
      <c r="C4" s="36" t="s">
        <v>132</v>
      </c>
      <c r="D4" s="32">
        <f>ROUNDUP((ROUNDUP($A3*$B3*D$2/$M$3,0)-4)/4+2,0)</f>
        <v>3</v>
      </c>
      <c r="E4" s="32">
        <f>ROUNDUP((ROUNDUP($A3*$B3*E$2/$M$3,0)-4)/4+2,0)</f>
        <v>3</v>
      </c>
      <c r="F4" s="32">
        <f t="shared" ref="F4:J4" si="1">ROUNDUP((ROUNDUP($A3*$B3*F$2/$M$3,0)-4)/4+2,0)</f>
        <v>4</v>
      </c>
      <c r="G4" s="32">
        <f t="shared" si="1"/>
        <v>4</v>
      </c>
      <c r="H4" s="32">
        <f t="shared" si="1"/>
        <v>5</v>
      </c>
      <c r="I4" s="32">
        <f t="shared" si="1"/>
        <v>5</v>
      </c>
      <c r="J4" s="32">
        <f t="shared" si="1"/>
        <v>6</v>
      </c>
    </row>
    <row r="6" spans="1:13" x14ac:dyDescent="0.25">
      <c r="A6" s="32">
        <v>80</v>
      </c>
      <c r="B6" s="32">
        <v>80</v>
      </c>
      <c r="C6" s="36" t="s">
        <v>131</v>
      </c>
      <c r="D6" s="32">
        <f t="shared" ref="D6:J6" si="2">ROUNDUP((ROUNDUP($A6*$B6*D$2/$L$3,0)-4)/4+2,0)</f>
        <v>5</v>
      </c>
      <c r="E6" s="32">
        <f t="shared" si="2"/>
        <v>6</v>
      </c>
      <c r="F6" s="32">
        <f t="shared" si="2"/>
        <v>8</v>
      </c>
      <c r="G6" s="32">
        <f t="shared" si="2"/>
        <v>9</v>
      </c>
      <c r="H6" s="32">
        <f t="shared" si="2"/>
        <v>11</v>
      </c>
      <c r="I6" s="32">
        <f t="shared" si="2"/>
        <v>13</v>
      </c>
      <c r="J6" s="32">
        <f t="shared" si="2"/>
        <v>14</v>
      </c>
    </row>
    <row r="7" spans="1:13" x14ac:dyDescent="0.25">
      <c r="C7" s="36" t="s">
        <v>132</v>
      </c>
      <c r="D7" s="32">
        <f t="shared" ref="D7:J7" si="3">ROUNDUP((ROUNDUP($A6*$B6*D$2/$M$3,0)-4)/4+2,0)</f>
        <v>3</v>
      </c>
      <c r="E7" s="32">
        <f t="shared" si="3"/>
        <v>4</v>
      </c>
      <c r="F7" s="32">
        <f t="shared" si="3"/>
        <v>5</v>
      </c>
      <c r="G7" s="32">
        <f t="shared" si="3"/>
        <v>6</v>
      </c>
      <c r="H7" s="32">
        <f t="shared" si="3"/>
        <v>7</v>
      </c>
      <c r="I7" s="32">
        <f t="shared" si="3"/>
        <v>8</v>
      </c>
      <c r="J7" s="32">
        <f t="shared" si="3"/>
        <v>9</v>
      </c>
    </row>
    <row r="9" spans="1:13" x14ac:dyDescent="0.25">
      <c r="A9" s="32">
        <v>100</v>
      </c>
      <c r="B9" s="32">
        <v>100</v>
      </c>
      <c r="C9" s="36" t="s">
        <v>131</v>
      </c>
      <c r="D9" s="32">
        <f t="shared" ref="D9:J9" si="4">ROUNDUP((ROUNDUP($A9*$B9*D$2/$L$3,0)-4)/4+2,0)</f>
        <v>6</v>
      </c>
      <c r="E9" s="32">
        <f t="shared" si="4"/>
        <v>9</v>
      </c>
      <c r="F9" s="32">
        <f t="shared" si="4"/>
        <v>11</v>
      </c>
      <c r="G9" s="32">
        <f t="shared" si="4"/>
        <v>14</v>
      </c>
      <c r="H9" s="32">
        <f t="shared" si="4"/>
        <v>16</v>
      </c>
      <c r="I9" s="32">
        <f t="shared" si="4"/>
        <v>19</v>
      </c>
      <c r="J9" s="32">
        <f t="shared" si="4"/>
        <v>21</v>
      </c>
    </row>
    <row r="10" spans="1:13" x14ac:dyDescent="0.25">
      <c r="C10" s="36" t="s">
        <v>132</v>
      </c>
      <c r="D10" s="32">
        <f t="shared" ref="D10:J10" si="5">ROUNDUP((ROUNDUP($A9*$B9*D$2/$M$3,0)-4)/4+2,0)</f>
        <v>5</v>
      </c>
      <c r="E10" s="32">
        <f t="shared" si="5"/>
        <v>6</v>
      </c>
      <c r="F10" s="32">
        <f t="shared" si="5"/>
        <v>8</v>
      </c>
      <c r="G10" s="32">
        <f t="shared" si="5"/>
        <v>9</v>
      </c>
      <c r="H10" s="32">
        <f t="shared" si="5"/>
        <v>11</v>
      </c>
      <c r="I10" s="32">
        <f t="shared" si="5"/>
        <v>12</v>
      </c>
      <c r="J10" s="32">
        <f t="shared" si="5"/>
        <v>14</v>
      </c>
    </row>
    <row r="12" spans="1:13" x14ac:dyDescent="0.25">
      <c r="A12" s="32">
        <v>70</v>
      </c>
      <c r="B12" s="32">
        <v>70</v>
      </c>
      <c r="C12" s="36" t="s">
        <v>131</v>
      </c>
      <c r="D12" s="32">
        <f t="shared" ref="D12:J12" si="6">ROUNDUP((ROUNDUP($A12*$B12*D$2/$L$3,0)-4)/4+2,0)</f>
        <v>4</v>
      </c>
      <c r="E12" s="32">
        <f t="shared" si="6"/>
        <v>5</v>
      </c>
      <c r="F12" s="32">
        <f t="shared" si="6"/>
        <v>6</v>
      </c>
      <c r="G12" s="32">
        <f t="shared" si="6"/>
        <v>8</v>
      </c>
      <c r="H12" s="32">
        <f t="shared" si="6"/>
        <v>9</v>
      </c>
      <c r="I12" s="32">
        <f t="shared" si="6"/>
        <v>10</v>
      </c>
      <c r="J12" s="32">
        <f t="shared" si="6"/>
        <v>11</v>
      </c>
    </row>
    <row r="13" spans="1:13" x14ac:dyDescent="0.25">
      <c r="C13" s="36" t="s">
        <v>132</v>
      </c>
      <c r="D13" s="32">
        <f t="shared" ref="D13:J13" si="7">ROUNDUP((ROUNDUP($A12*$B12*D$2/$M$3,0)-4)/4+2,0)</f>
        <v>3</v>
      </c>
      <c r="E13" s="32">
        <f t="shared" si="7"/>
        <v>4</v>
      </c>
      <c r="F13" s="32">
        <f t="shared" si="7"/>
        <v>5</v>
      </c>
      <c r="G13" s="32">
        <f t="shared" si="7"/>
        <v>5</v>
      </c>
      <c r="H13" s="32">
        <f t="shared" si="7"/>
        <v>6</v>
      </c>
      <c r="I13" s="32">
        <f t="shared" si="7"/>
        <v>7</v>
      </c>
      <c r="J13" s="32">
        <f t="shared" si="7"/>
        <v>8</v>
      </c>
    </row>
    <row r="15" spans="1:13" x14ac:dyDescent="0.25">
      <c r="A15" s="32">
        <v>90</v>
      </c>
      <c r="B15" s="32">
        <v>90</v>
      </c>
      <c r="C15" s="36" t="s">
        <v>131</v>
      </c>
      <c r="D15" s="32">
        <f t="shared" ref="D15:J15" si="8">ROUNDUP((ROUNDUP($A15*$B15*D$2/$L$3,0)-4)/4+2,0)</f>
        <v>5</v>
      </c>
      <c r="E15" s="32">
        <f t="shared" si="8"/>
        <v>7</v>
      </c>
      <c r="F15" s="32">
        <f t="shared" si="8"/>
        <v>9</v>
      </c>
      <c r="G15" s="32">
        <f t="shared" si="8"/>
        <v>11</v>
      </c>
      <c r="H15" s="32">
        <f t="shared" si="8"/>
        <v>13</v>
      </c>
      <c r="I15" s="32">
        <f t="shared" si="8"/>
        <v>15</v>
      </c>
      <c r="J15" s="32">
        <f t="shared" si="8"/>
        <v>17</v>
      </c>
    </row>
    <row r="16" spans="1:13" x14ac:dyDescent="0.25">
      <c r="C16" s="36" t="s">
        <v>132</v>
      </c>
      <c r="D16" s="32">
        <f t="shared" ref="D16:J16" si="9">ROUNDUP((ROUNDUP($A15*$B15*D$2/$M$3,0)-4)/4+2,0)</f>
        <v>4</v>
      </c>
      <c r="E16" s="32">
        <f t="shared" si="9"/>
        <v>5</v>
      </c>
      <c r="F16" s="32">
        <f t="shared" si="9"/>
        <v>6</v>
      </c>
      <c r="G16" s="32">
        <f t="shared" si="9"/>
        <v>8</v>
      </c>
      <c r="H16" s="32">
        <f t="shared" si="9"/>
        <v>9</v>
      </c>
      <c r="I16" s="32">
        <f t="shared" si="9"/>
        <v>10</v>
      </c>
      <c r="J16" s="32">
        <f t="shared" si="9"/>
        <v>11</v>
      </c>
    </row>
  </sheetData>
  <mergeCells count="2">
    <mergeCell ref="A1:J1"/>
    <mergeCell ref="L1:M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>
    <tabColor theme="4"/>
  </sheetPr>
  <dimension ref="A1:E27"/>
  <sheetViews>
    <sheetView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139</v>
      </c>
      <c r="C1" s="37" t="s">
        <v>146</v>
      </c>
      <c r="D1" s="37" t="s">
        <v>135</v>
      </c>
    </row>
    <row r="2" spans="1:5" x14ac:dyDescent="0.25">
      <c r="A2" s="32">
        <v>2</v>
      </c>
      <c r="B2" s="37" t="s">
        <v>147</v>
      </c>
    </row>
    <row r="3" spans="1:5" x14ac:dyDescent="0.25">
      <c r="A3" s="32">
        <v>3</v>
      </c>
      <c r="B3" s="37" t="s">
        <v>148</v>
      </c>
      <c r="C3" s="37" t="s">
        <v>149</v>
      </c>
    </row>
    <row r="4" spans="1:5" x14ac:dyDescent="0.25">
      <c r="A4" s="32">
        <v>4</v>
      </c>
      <c r="B4" s="37" t="s">
        <v>150</v>
      </c>
      <c r="C4" s="37" t="s">
        <v>140</v>
      </c>
    </row>
    <row r="5" spans="1:5" x14ac:dyDescent="0.25">
      <c r="A5" s="32">
        <v>5</v>
      </c>
      <c r="B5" s="37" t="s">
        <v>141</v>
      </c>
      <c r="C5" s="37" t="s">
        <v>142</v>
      </c>
    </row>
    <row r="6" spans="1:5" x14ac:dyDescent="0.25">
      <c r="A6" s="32">
        <v>6</v>
      </c>
      <c r="B6" s="37" t="s">
        <v>143</v>
      </c>
      <c r="C6" s="37" t="s">
        <v>136</v>
      </c>
    </row>
    <row r="7" spans="1:5" x14ac:dyDescent="0.25">
      <c r="A7" s="32">
        <v>7</v>
      </c>
      <c r="B7" s="37" t="s">
        <v>138</v>
      </c>
    </row>
    <row r="8" spans="1:5" x14ac:dyDescent="0.25">
      <c r="A8" s="32">
        <v>8</v>
      </c>
      <c r="B8" s="37" t="s">
        <v>151</v>
      </c>
      <c r="C8" s="37" t="s">
        <v>157</v>
      </c>
      <c r="D8" s="37" t="s">
        <v>144</v>
      </c>
      <c r="E8" s="37" t="s">
        <v>152</v>
      </c>
    </row>
    <row r="9" spans="1:5" x14ac:dyDescent="0.25">
      <c r="A9" s="32">
        <v>9</v>
      </c>
      <c r="B9" s="37" t="s">
        <v>137</v>
      </c>
      <c r="C9" s="37" t="s">
        <v>153</v>
      </c>
      <c r="D9" s="37" t="s">
        <v>154</v>
      </c>
      <c r="E9" s="37" t="s">
        <v>155</v>
      </c>
    </row>
    <row r="10" spans="1:5" x14ac:dyDescent="0.25">
      <c r="A10" s="32">
        <v>10</v>
      </c>
      <c r="B10" s="37" t="s">
        <v>156</v>
      </c>
      <c r="C10" s="37" t="s">
        <v>158</v>
      </c>
    </row>
    <row r="11" spans="1:5" x14ac:dyDescent="0.25">
      <c r="A11" s="32">
        <v>11</v>
      </c>
      <c r="B11" s="37" t="s">
        <v>162</v>
      </c>
    </row>
    <row r="12" spans="1:5" x14ac:dyDescent="0.25">
      <c r="A12" s="32">
        <v>12</v>
      </c>
      <c r="B12" s="37" t="s">
        <v>159</v>
      </c>
    </row>
    <row r="13" spans="1:5" x14ac:dyDescent="0.25">
      <c r="A13" s="32">
        <v>13</v>
      </c>
      <c r="B13" s="37" t="s">
        <v>160</v>
      </c>
      <c r="C13" s="37" t="s">
        <v>145</v>
      </c>
    </row>
    <row r="14" spans="1:5" x14ac:dyDescent="0.25">
      <c r="A14" s="32">
        <v>14</v>
      </c>
      <c r="B14" s="37" t="s">
        <v>161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x14ac:dyDescent="0.25">
      <c r="A87" s="1" t="s">
        <v>126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0000000-0009-0000-0000-000008000000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0000000-0009-0000-0000-000009000000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0000000-0009-0000-0000-00000A000000}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0000000-0009-0000-0000-00000B000000}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bohao6</cp:lastModifiedBy>
  <dcterms:created xsi:type="dcterms:W3CDTF">2016-06-27T02:49:03Z</dcterms:created>
  <dcterms:modified xsi:type="dcterms:W3CDTF">2019-05-20T03:17:36Z</dcterms:modified>
</cp:coreProperties>
</file>